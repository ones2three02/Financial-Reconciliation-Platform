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340"/>
  </bookViews>
  <sheets>
    <sheet name="财务报表填写要求" sheetId="1" r:id="rId1"/>
    <sheet name="收入汇总表" sheetId="2" r:id="rId2"/>
    <sheet name="收入流水表" sheetId="3" r:id="rId3"/>
    <sheet name="水吧销售明细表" sheetId="4" r:id="rId4"/>
    <sheet name="游泳装备销售明细表" sheetId="5" r:id="rId5"/>
    <sheet name="礼品赠送明细表" sheetId="9" r:id="rId6"/>
    <sheet name="发票信息登记表" sheetId="6" r:id="rId7"/>
    <sheet name="赠送" sheetId="11" r:id="rId8"/>
    <sheet name="礼品盘点表" sheetId="8" r:id="rId9"/>
    <sheet name="电" sheetId="10" r:id="rId10"/>
    <sheet name="固定资产盘点表" sheetId="7" r:id="rId11"/>
  </sheets>
  <definedNames>
    <definedName name="_xlnm._FilterDatabase" localSheetId="2" hidden="1">收入流水表!$A$1:$U$302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sz val="9"/>
            <rFont val="宋体"/>
            <charset val="134"/>
          </rPr>
          <t>Administrator:
停，转，补，租柜，场租</t>
        </r>
      </text>
    </comment>
    <comment ref="T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当天值班前台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填写日期格式与汇总表保持一致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对应实际情况，填写对应会籍和私教姓名。（以最终成交为准）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赠送部分+其他附言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货名</t>
        </r>
      </text>
    </commen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进货单价（单位：瓶）
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售卖单价（单位：瓶）</t>
        </r>
      </text>
    </comment>
    <comment ref="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数量（单位：瓶）</t>
        </r>
      </text>
    </comment>
    <comment ref="U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进货总额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货名</t>
        </r>
      </text>
    </commen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每副/件进货单价</t>
        </r>
      </text>
    </commen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每副/件售卖单价</t>
        </r>
      </text>
    </comment>
    <comment ref="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数量（单位：瓶）</t>
        </r>
      </text>
    </comment>
    <comment ref="W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进货总额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填写数字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泳池，男女浴室，跑步机用电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各区域空调用电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上次剩余500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填写数字</t>
        </r>
      </text>
    </comment>
  </commentList>
</comments>
</file>

<file path=xl/sharedStrings.xml><?xml version="1.0" encoding="utf-8"?>
<sst xmlns="http://schemas.openxmlformats.org/spreadsheetml/2006/main" count="1569" uniqueCount="441">
  <si>
    <t>财务报表填写要求</t>
  </si>
  <si>
    <t>报表</t>
  </si>
  <si>
    <t>明细</t>
  </si>
  <si>
    <t>所属位置</t>
  </si>
  <si>
    <t>填写要求</t>
  </si>
  <si>
    <t>发表时间</t>
  </si>
  <si>
    <t>每日登记</t>
  </si>
  <si>
    <r>
      <rPr>
        <sz val="12"/>
        <color rgb="FFFF0000"/>
        <rFont val="宋体"/>
        <charset val="134"/>
      </rPr>
      <t>XX</t>
    </r>
    <r>
      <rPr>
        <sz val="12"/>
        <rFont val="宋体"/>
        <charset val="134"/>
      </rPr>
      <t>店财务报表</t>
    </r>
  </si>
  <si>
    <t>收入汇总表</t>
  </si>
  <si>
    <t>收入汇总表!A1</t>
  </si>
  <si>
    <t>有公式自动计算，不允许手动更改</t>
  </si>
  <si>
    <t>每天下班前前台发送到财务邮箱</t>
  </si>
  <si>
    <t>收据流水表</t>
  </si>
  <si>
    <t>收入流水表!A1</t>
  </si>
  <si>
    <t>1、根据真实情况填写，每一列都需要写清楚，与SASS后台系统保持一致（收据合约号必须按顺序填写，不允许跳号使用。）
2、填写日期格式与汇总保持表一致
3、收入类别从下拉框中勾选，不允许随意增加
4、对应实际情况，填写对应会籍和私教姓名（以最终成交为准）。</t>
  </si>
  <si>
    <t>水吧销售明细表</t>
  </si>
  <si>
    <t>水吧销售明细表!A1</t>
  </si>
  <si>
    <t>早晚班只需要统计当天的销售数量（以瓶为单位，只写数字），
收入和利润有公式可自动统计。</t>
  </si>
  <si>
    <t>游泳装备销售明细表</t>
  </si>
  <si>
    <t>游泳装备销售明细表!A1</t>
  </si>
  <si>
    <t>早晚班只需要统计当天的销售数量（以件为单位，只写数字），
收入和利润有公式可自动统计。</t>
  </si>
  <si>
    <t>每周登记</t>
  </si>
  <si>
    <t>发票信息登记表</t>
  </si>
  <si>
    <t>发票信息登记表!A1</t>
  </si>
  <si>
    <t>请核对需开票的会员真实性，
若当月会员未能领取的及时将发票退回财务部门。</t>
  </si>
  <si>
    <t>每周四晚下班前发送到财务邮箱</t>
  </si>
  <si>
    <t>每月登记</t>
  </si>
  <si>
    <t>礼品盘点表</t>
  </si>
  <si>
    <t>礼品盘点表!A1</t>
  </si>
  <si>
    <t>以公司实际采购、赠送来填写礼品当月的情况。</t>
  </si>
  <si>
    <t>次月1号下午发送到财务邮箱</t>
  </si>
  <si>
    <t>固定资产盘点</t>
  </si>
  <si>
    <t>固定资产盘点表</t>
  </si>
  <si>
    <t>固定资产盘点表!A1</t>
  </si>
  <si>
    <t>以公司实际购入、报损来填写器械当月的情况。</t>
  </si>
  <si>
    <t>2026年山道健身营业收入统计总表</t>
  </si>
  <si>
    <t>主营业务</t>
  </si>
  <si>
    <t>其它业务</t>
  </si>
  <si>
    <t>当日收入</t>
  </si>
  <si>
    <t>付款方式</t>
  </si>
  <si>
    <t>当日现金情况</t>
  </si>
  <si>
    <t>备注</t>
  </si>
  <si>
    <t>日期</t>
  </si>
  <si>
    <t>会籍收入</t>
  </si>
  <si>
    <t>私教收入</t>
  </si>
  <si>
    <t>教练班收入</t>
  </si>
  <si>
    <t>其他收入</t>
  </si>
  <si>
    <t>小计</t>
  </si>
  <si>
    <t>水吧收入</t>
  </si>
  <si>
    <t>游泳装备</t>
  </si>
  <si>
    <t>美团收入</t>
  </si>
  <si>
    <t>抖音收入</t>
  </si>
  <si>
    <t>刷单</t>
  </si>
  <si>
    <t>合计</t>
  </si>
  <si>
    <t>微信</t>
  </si>
  <si>
    <t>支付宝</t>
  </si>
  <si>
    <t>POS</t>
  </si>
  <si>
    <t>现金</t>
  </si>
  <si>
    <t>存入</t>
  </si>
  <si>
    <t>备用金</t>
  </si>
  <si>
    <t>经办人</t>
  </si>
  <si>
    <t>7月合计</t>
  </si>
  <si>
    <t>收据编号</t>
  </si>
  <si>
    <t>收入类别</t>
  </si>
  <si>
    <t>姓名</t>
  </si>
  <si>
    <t>联系方式</t>
  </si>
  <si>
    <t>卡种/课种</t>
  </si>
  <si>
    <t>课时节数</t>
  </si>
  <si>
    <t>付款类别</t>
  </si>
  <si>
    <t>金额</t>
  </si>
  <si>
    <t>是否添加微信</t>
  </si>
  <si>
    <t>业绩奖励人</t>
  </si>
  <si>
    <t>奖励机制</t>
  </si>
  <si>
    <t>合约编号</t>
  </si>
  <si>
    <t>是否续卡/续课</t>
  </si>
  <si>
    <t>是否核单</t>
  </si>
  <si>
    <t>会员是否签字</t>
  </si>
  <si>
    <t>类型</t>
  </si>
  <si>
    <t>使用门店</t>
  </si>
  <si>
    <t>姚起斌</t>
  </si>
  <si>
    <t>月卡</t>
  </si>
  <si>
    <t>全款</t>
  </si>
  <si>
    <t>刘嘉俊</t>
  </si>
  <si>
    <t>抖音验券月卡</t>
  </si>
  <si>
    <t>否</t>
  </si>
  <si>
    <t>是</t>
  </si>
  <si>
    <t>水*10/纸*1/维他命*2/外星人*1/水溶*1/东方树叶*1</t>
  </si>
  <si>
    <t>14.9*2/19.9*1</t>
  </si>
  <si>
    <t>19.9*1</t>
  </si>
  <si>
    <t>杨蓓澄</t>
  </si>
  <si>
    <t>游泳培训班</t>
  </si>
  <si>
    <t>肖翠</t>
  </si>
  <si>
    <r>
      <rPr>
        <sz val="11"/>
        <color theme="1"/>
        <rFont val="宋体"/>
        <charset val="134"/>
        <scheme val="minor"/>
      </rPr>
      <t>一对四泳培送一个月，送泳镜，泳帽，鼻夹</t>
    </r>
    <r>
      <rPr>
        <sz val="11"/>
        <color rgb="FFFF0000"/>
        <rFont val="宋体"/>
        <charset val="134"/>
        <scheme val="minor"/>
      </rPr>
      <t>（已退款）</t>
    </r>
  </si>
  <si>
    <t>石拥强</t>
  </si>
  <si>
    <t>罗琳皓</t>
  </si>
  <si>
    <t>水*24/纸*/维他*1/脉*1</t>
  </si>
  <si>
    <t>万月霞</t>
  </si>
  <si>
    <t>汤寒张</t>
  </si>
  <si>
    <t>双月卡</t>
  </si>
  <si>
    <t>彭志坚</t>
  </si>
  <si>
    <t>游泳培训1V3</t>
  </si>
  <si>
    <t>王海乐</t>
  </si>
  <si>
    <t>游泳培训1对3</t>
  </si>
  <si>
    <t>余静思/余静文/余静贤</t>
  </si>
  <si>
    <t>游泳培训1对3*3，各赠送一个月</t>
  </si>
  <si>
    <t>刘一显</t>
  </si>
  <si>
    <t>水*24/纸*2/外星人*2/脉动*2/维他命*1/红牛*1</t>
  </si>
  <si>
    <t>涂子睿</t>
  </si>
  <si>
    <t>凌培华</t>
  </si>
  <si>
    <t>马允之</t>
  </si>
  <si>
    <t>美团一对四泳培，送两个月月卡，固定下午之后</t>
  </si>
  <si>
    <t>廖兴惠</t>
  </si>
  <si>
    <r>
      <rPr>
        <sz val="11"/>
        <color theme="1"/>
        <rFont val="宋体"/>
        <charset val="134"/>
        <scheme val="minor"/>
      </rPr>
      <t>一对四，二期下午15:30-16:30上课（</t>
    </r>
    <r>
      <rPr>
        <sz val="11"/>
        <color rgb="FFFF0000"/>
        <rFont val="宋体"/>
        <charset val="134"/>
        <scheme val="minor"/>
      </rPr>
      <t>合同未签字）</t>
    </r>
  </si>
  <si>
    <t>熊隆盛 熊隆新</t>
  </si>
  <si>
    <t>一对四*2.送月卡*2，早上9点以后上课</t>
  </si>
  <si>
    <t>陈子畅</t>
  </si>
  <si>
    <t>游泳培训1V2</t>
  </si>
  <si>
    <t>乔治</t>
  </si>
  <si>
    <t>一对二包教会 一期晚上6点上课，送一个月畅游</t>
  </si>
  <si>
    <t>裘友才</t>
  </si>
  <si>
    <t>年卡</t>
  </si>
  <si>
    <t>业绩达标奖励</t>
  </si>
  <si>
    <t>年卡赠送2个月，送健身三件套</t>
  </si>
  <si>
    <t>赖孜俊 李承羲</t>
  </si>
  <si>
    <t>一对六*2，二期7点-8点上课</t>
  </si>
  <si>
    <t>水*14/纸*2/外*1/脉*1/东方*1</t>
  </si>
  <si>
    <t>布泳帽*3/鼻夹*1</t>
  </si>
  <si>
    <t>95*2</t>
  </si>
  <si>
    <t>邓奕浩/刘榕</t>
  </si>
  <si>
    <t>13369782190
19579883176</t>
  </si>
  <si>
    <r>
      <rPr>
        <sz val="11"/>
        <color theme="1"/>
        <rFont val="宋体"/>
        <charset val="134"/>
        <scheme val="minor"/>
      </rPr>
      <t>月卡*2</t>
    </r>
    <r>
      <rPr>
        <sz val="11"/>
        <color rgb="FFFF0000"/>
        <rFont val="宋体"/>
        <charset val="134"/>
        <scheme val="minor"/>
      </rPr>
      <t>（合同未签字）</t>
    </r>
  </si>
  <si>
    <t>杨令雨</t>
  </si>
  <si>
    <t>徐成楠</t>
  </si>
  <si>
    <r>
      <rPr>
        <sz val="11"/>
        <color theme="1"/>
        <rFont val="宋体"/>
        <charset val="134"/>
        <scheme val="minor"/>
      </rPr>
      <t>游泳培训1对3</t>
    </r>
    <r>
      <rPr>
        <sz val="11"/>
        <color rgb="FFFF0000"/>
        <rFont val="宋体"/>
        <charset val="134"/>
        <scheme val="minor"/>
      </rPr>
      <t>（合同未签字）</t>
    </r>
  </si>
  <si>
    <t>徐赫杨</t>
  </si>
  <si>
    <r>
      <rPr>
        <sz val="11"/>
        <color theme="1"/>
        <rFont val="宋体"/>
        <charset val="134"/>
        <scheme val="minor"/>
      </rPr>
      <t>游泳培训1对3</t>
    </r>
    <r>
      <rPr>
        <sz val="11"/>
        <color rgb="FFFF0000"/>
        <rFont val="宋体"/>
        <charset val="134"/>
        <scheme val="minor"/>
      </rPr>
      <t>（合并付款：2700元）</t>
    </r>
  </si>
  <si>
    <t>邬林俊/邬林志</t>
  </si>
  <si>
    <r>
      <rPr>
        <sz val="11"/>
        <color theme="1"/>
        <rFont val="宋体"/>
        <charset val="134"/>
        <scheme val="minor"/>
      </rPr>
      <t>游泳培训1对3*2</t>
    </r>
    <r>
      <rPr>
        <sz val="11"/>
        <color rgb="FFFF0000"/>
        <rFont val="宋体"/>
        <charset val="134"/>
        <scheme val="minor"/>
      </rPr>
      <t>（合并付款：2700元）</t>
    </r>
  </si>
  <si>
    <t>何曦悦</t>
  </si>
  <si>
    <r>
      <rPr>
        <sz val="11"/>
        <color theme="1"/>
        <rFont val="宋体"/>
        <charset val="134"/>
        <scheme val="minor"/>
      </rPr>
      <t>游泳培训1对4送暑假畅游</t>
    </r>
    <r>
      <rPr>
        <sz val="11"/>
        <color rgb="FFFF0000"/>
        <rFont val="宋体"/>
        <charset val="134"/>
        <scheme val="minor"/>
      </rPr>
      <t>（19:00-20:00）</t>
    </r>
  </si>
  <si>
    <t>张皓轩</t>
  </si>
  <si>
    <t>月卡，送10天</t>
  </si>
  <si>
    <t>安芯</t>
  </si>
  <si>
    <t>双月卡，10号补差价升级年卡</t>
  </si>
  <si>
    <t>涂丹</t>
  </si>
  <si>
    <t>美团验券月卡300</t>
  </si>
  <si>
    <t>胡予沫</t>
  </si>
  <si>
    <t>李言蹊</t>
  </si>
  <si>
    <t>甘书瑶</t>
  </si>
  <si>
    <r>
      <rPr>
        <sz val="11"/>
        <color theme="1"/>
        <rFont val="宋体"/>
        <charset val="134"/>
        <scheme val="minor"/>
      </rPr>
      <t>游泳培训1对4，送一个月</t>
    </r>
    <r>
      <rPr>
        <sz val="11"/>
        <color rgb="FFFF0000"/>
        <rFont val="宋体"/>
        <charset val="134"/>
        <scheme val="minor"/>
      </rPr>
      <t>（8月中下旬，16:00以后）</t>
    </r>
  </si>
  <si>
    <t>徐晟恩</t>
  </si>
  <si>
    <t>付锦灏</t>
  </si>
  <si>
    <t>王总</t>
  </si>
  <si>
    <r>
      <rPr>
        <sz val="11"/>
        <color theme="1"/>
        <rFont val="宋体"/>
        <charset val="134"/>
        <scheme val="minor"/>
      </rPr>
      <t>一对四，送一个月上课卡，下午四点上课（</t>
    </r>
    <r>
      <rPr>
        <sz val="11"/>
        <color rgb="FFFF0000"/>
        <rFont val="宋体"/>
        <charset val="134"/>
        <scheme val="minor"/>
      </rPr>
      <t>合同未签字</t>
    </r>
    <r>
      <rPr>
        <sz val="11"/>
        <color theme="1"/>
        <rFont val="宋体"/>
        <charset val="134"/>
        <scheme val="minor"/>
      </rPr>
      <t>）</t>
    </r>
  </si>
  <si>
    <t>水*20/脉动*1/外星人*1/维他命*1</t>
  </si>
  <si>
    <t>布泳帽*4</t>
  </si>
  <si>
    <t>19.9*3/39.9*2</t>
  </si>
  <si>
    <t>95*1</t>
  </si>
  <si>
    <t>兰羽静</t>
  </si>
  <si>
    <r>
      <rPr>
        <sz val="11"/>
        <color theme="1"/>
        <rFont val="宋体"/>
        <charset val="134"/>
        <scheme val="minor"/>
      </rPr>
      <t>一对六，7:00-8:00上课（</t>
    </r>
    <r>
      <rPr>
        <sz val="11"/>
        <color rgb="FFFF0000"/>
        <rFont val="宋体"/>
        <charset val="134"/>
        <scheme val="minor"/>
      </rPr>
      <t>合同未签字</t>
    </r>
    <r>
      <rPr>
        <sz val="11"/>
        <color theme="1"/>
        <rFont val="宋体"/>
        <charset val="134"/>
        <scheme val="minor"/>
      </rPr>
      <t>）</t>
    </r>
  </si>
  <si>
    <t>龚剑风</t>
  </si>
  <si>
    <t>张志明</t>
  </si>
  <si>
    <t>一对六泳培赠送畅游卡，泳镜*1</t>
  </si>
  <si>
    <t>涂嘉颖</t>
  </si>
  <si>
    <t>美团月卡</t>
  </si>
  <si>
    <t>刘若天</t>
  </si>
  <si>
    <t>亚碧</t>
  </si>
  <si>
    <t>黄博彦 黄博然</t>
  </si>
  <si>
    <t>15979187210 15270820328</t>
  </si>
  <si>
    <t>一对四泳培送暑假畅游卡*2，包教会一种泳姿（晚上7点-8点上课）</t>
  </si>
  <si>
    <t>黄琳</t>
  </si>
  <si>
    <t>年卡送三个月</t>
  </si>
  <si>
    <t>陶文轩</t>
  </si>
  <si>
    <t>熊浩然 熊浩锦</t>
  </si>
  <si>
    <t>长训班</t>
  </si>
  <si>
    <t>长训班16节*2，送两个月畅游卡*2，用于上课</t>
  </si>
  <si>
    <t>水*28/纸*2/外*1/溶*1/脉*1</t>
  </si>
  <si>
    <t>泳帽*1/泳镜*2</t>
  </si>
  <si>
    <t>19.9*3/14.9*1</t>
  </si>
  <si>
    <t>公顺</t>
  </si>
  <si>
    <t>年卡送健身三件套*1</t>
  </si>
  <si>
    <t>欧阳陈骏</t>
  </si>
  <si>
    <t>游泳培训1对4，送2个月暑假，下午时间都可以</t>
  </si>
  <si>
    <t>晏飘飘</t>
  </si>
  <si>
    <t>游泳培训1对4</t>
  </si>
  <si>
    <t>收据合同作废</t>
  </si>
  <si>
    <t>黄宇晨</t>
  </si>
  <si>
    <t>黄以歆</t>
  </si>
  <si>
    <t>夏颖</t>
  </si>
  <si>
    <t>月卡升级年卡</t>
  </si>
  <si>
    <t>姚赣</t>
  </si>
  <si>
    <t>双年卡</t>
  </si>
  <si>
    <t>双年卡，赠3个月，赠健身包*1</t>
  </si>
  <si>
    <t>水*23/水溶*1/外星人*1</t>
  </si>
  <si>
    <t>布泳帽*2/硅胶泳帽*1</t>
  </si>
  <si>
    <t>16.9*1</t>
  </si>
  <si>
    <t>19.9*3/95*2</t>
  </si>
  <si>
    <t>刘乐乐</t>
  </si>
  <si>
    <t>金沙小学4（1）班</t>
  </si>
  <si>
    <t>汪小雨</t>
  </si>
  <si>
    <t>欧阳子墨</t>
  </si>
  <si>
    <t>熊歆玥</t>
  </si>
  <si>
    <t>胡思妍</t>
  </si>
  <si>
    <t>李屹然</t>
  </si>
  <si>
    <t>李晨希</t>
  </si>
  <si>
    <t>梅亦辰</t>
  </si>
  <si>
    <t>万智轩</t>
  </si>
  <si>
    <t>余馨蕊</t>
  </si>
  <si>
    <t>张曦月</t>
  </si>
  <si>
    <t>吴星瑞</t>
  </si>
  <si>
    <t>金宸艺</t>
  </si>
  <si>
    <t>金沙小学6（4）班</t>
  </si>
  <si>
    <t>唐健文</t>
  </si>
  <si>
    <t>熊雨馨</t>
  </si>
  <si>
    <t>余伊诺</t>
  </si>
  <si>
    <t>邹欣瑶</t>
  </si>
  <si>
    <t>金沙小学5（3）班</t>
  </si>
  <si>
    <t>曾梓睿</t>
  </si>
  <si>
    <t>聂士桐</t>
  </si>
  <si>
    <t>金沙小学3（3）班</t>
  </si>
  <si>
    <t>黄岩坪</t>
  </si>
  <si>
    <t>金沙小学3（2）班</t>
  </si>
  <si>
    <t>邹佳航</t>
  </si>
  <si>
    <t>许玮宸</t>
  </si>
  <si>
    <t>夏嘉欣</t>
  </si>
  <si>
    <t>金沙小学4（7）班</t>
  </si>
  <si>
    <t>李彦君</t>
  </si>
  <si>
    <t>刘景灏</t>
  </si>
  <si>
    <t>邹梦瑶</t>
  </si>
  <si>
    <t>金沙小学3（4）班</t>
  </si>
  <si>
    <t>王可欣</t>
  </si>
  <si>
    <t>金沙小学4（2）班</t>
  </si>
  <si>
    <t>余青墨</t>
  </si>
  <si>
    <t>胡睿玥</t>
  </si>
  <si>
    <r>
      <rPr>
        <sz val="11"/>
        <color theme="1"/>
        <rFont val="宋体"/>
        <charset val="134"/>
        <scheme val="minor"/>
      </rPr>
      <t>金沙小学4（2）班</t>
    </r>
    <r>
      <rPr>
        <sz val="11"/>
        <color rgb="FFFF0000"/>
        <rFont val="宋体"/>
        <charset val="134"/>
        <scheme val="minor"/>
      </rPr>
      <t>（已退费）</t>
    </r>
  </si>
  <si>
    <t>洪梦菲</t>
  </si>
  <si>
    <t>金沙小学3（1）班</t>
  </si>
  <si>
    <t>李吴仪</t>
  </si>
  <si>
    <t>徐芷晗</t>
  </si>
  <si>
    <t>付泽宇</t>
  </si>
  <si>
    <t>金沙小学4（4）班</t>
  </si>
  <si>
    <t>章一鸣</t>
  </si>
  <si>
    <t>邹奕洁</t>
  </si>
  <si>
    <t>邹奕彤</t>
  </si>
  <si>
    <t>周羽熙</t>
  </si>
  <si>
    <t>陈奕轩</t>
  </si>
  <si>
    <t>邓懿玲</t>
  </si>
  <si>
    <t>熊宇安</t>
  </si>
  <si>
    <t>罗杨一萌</t>
  </si>
  <si>
    <t>熊予昕</t>
  </si>
  <si>
    <t>祝悦雯</t>
  </si>
  <si>
    <r>
      <rPr>
        <sz val="12"/>
        <rFont val="宋体"/>
        <charset val="134"/>
        <scheme val="minor"/>
      </rPr>
      <t>金沙小学3（1）班</t>
    </r>
    <r>
      <rPr>
        <sz val="12"/>
        <color rgb="FFFF0000"/>
        <rFont val="宋体"/>
        <charset val="134"/>
        <scheme val="minor"/>
      </rPr>
      <t>（2026/7/9刷入公司账户）</t>
    </r>
  </si>
  <si>
    <t>万宸瑆</t>
  </si>
  <si>
    <r>
      <rPr>
        <sz val="11"/>
        <color theme="1"/>
        <rFont val="宋体"/>
        <charset val="134"/>
        <scheme val="minor"/>
      </rPr>
      <t xml:space="preserve">金沙小学4（2）班 </t>
    </r>
    <r>
      <rPr>
        <sz val="11"/>
        <color rgb="FFFF0000"/>
        <rFont val="宋体"/>
        <charset val="134"/>
        <scheme val="minor"/>
      </rPr>
      <t>合并付款：300元</t>
    </r>
  </si>
  <si>
    <t>周梓檬</t>
  </si>
  <si>
    <t>饶梓灵</t>
  </si>
  <si>
    <t>章乐言</t>
  </si>
  <si>
    <t>曾小萱</t>
  </si>
  <si>
    <t>金沙小学3（6）班</t>
  </si>
  <si>
    <r>
      <rPr>
        <sz val="11"/>
        <color theme="1"/>
        <rFont val="宋体"/>
        <charset val="134"/>
        <scheme val="minor"/>
      </rPr>
      <t>儿童年卡，</t>
    </r>
    <r>
      <rPr>
        <sz val="11"/>
        <color rgb="FFFF0000"/>
        <rFont val="宋体"/>
        <charset val="134"/>
        <scheme val="minor"/>
      </rPr>
      <t>合并付款：1488元</t>
    </r>
  </si>
  <si>
    <t>邓懿轩</t>
  </si>
  <si>
    <r>
      <rPr>
        <sz val="11"/>
        <color theme="1"/>
        <rFont val="宋体"/>
        <charset val="134"/>
        <scheme val="minor"/>
      </rPr>
      <t xml:space="preserve">儿童年卡 </t>
    </r>
    <r>
      <rPr>
        <sz val="11"/>
        <color rgb="FFFF0000"/>
        <rFont val="宋体"/>
        <charset val="134"/>
        <scheme val="minor"/>
      </rPr>
      <t>合并付款：1488元</t>
    </r>
  </si>
  <si>
    <t>邹昕妍</t>
  </si>
  <si>
    <t>熊峻程</t>
  </si>
  <si>
    <t>黄卫群</t>
  </si>
  <si>
    <t>亲子卡</t>
  </si>
  <si>
    <t>章歆阳</t>
  </si>
  <si>
    <t>亲子年卡</t>
  </si>
  <si>
    <t>王菲宇</t>
  </si>
  <si>
    <t>李漪凡</t>
  </si>
  <si>
    <t>漆平安 漆喜乐</t>
  </si>
  <si>
    <t>月卡*2</t>
  </si>
  <si>
    <t>熊</t>
  </si>
  <si>
    <r>
      <rPr>
        <sz val="11"/>
        <color theme="1"/>
        <rFont val="宋体"/>
        <charset val="134"/>
        <scheme val="minor"/>
      </rPr>
      <t>双月卡（</t>
    </r>
    <r>
      <rPr>
        <sz val="11"/>
        <color rgb="FFFF0000"/>
        <rFont val="宋体"/>
        <charset val="134"/>
        <scheme val="minor"/>
      </rPr>
      <t>因付错了款，已申请退款1000</t>
    </r>
    <r>
      <rPr>
        <sz val="11"/>
        <color theme="1"/>
        <rFont val="宋体"/>
        <charset val="134"/>
        <scheme val="minor"/>
      </rPr>
      <t>）</t>
    </r>
  </si>
  <si>
    <t>魏辰宇</t>
  </si>
  <si>
    <t>陈汐越</t>
  </si>
  <si>
    <r>
      <rPr>
        <sz val="11"/>
        <color theme="1"/>
        <rFont val="宋体"/>
        <charset val="134"/>
        <scheme val="minor"/>
      </rPr>
      <t>双月卡（</t>
    </r>
    <r>
      <rPr>
        <sz val="11"/>
        <color rgb="FFFF0000"/>
        <rFont val="宋体"/>
        <charset val="134"/>
        <scheme val="minor"/>
      </rPr>
      <t>合同未签字</t>
    </r>
    <r>
      <rPr>
        <sz val="11"/>
        <color theme="1"/>
        <rFont val="宋体"/>
        <charset val="134"/>
        <scheme val="minor"/>
      </rPr>
      <t>）</t>
    </r>
  </si>
  <si>
    <t>刘宸希</t>
  </si>
  <si>
    <t>游泳培训1V1</t>
  </si>
  <si>
    <t>游泳培训1对1，送一个月上课卡</t>
  </si>
  <si>
    <t>水*21/纸*1/外*1/溶*1/脉*2/尖*1/东方树叶*2</t>
  </si>
  <si>
    <t>泳镜*3/布泳帽*3/男小童裤*2</t>
  </si>
  <si>
    <t xml:space="preserve">  </t>
  </si>
  <si>
    <r>
      <rPr>
        <sz val="11"/>
        <color theme="1"/>
        <rFont val="宋体"/>
        <charset val="134"/>
        <scheme val="minor"/>
      </rPr>
      <t>水*5</t>
    </r>
    <r>
      <rPr>
        <sz val="11"/>
        <color rgb="FFFF0000"/>
        <rFont val="宋体"/>
        <charset val="134"/>
        <scheme val="minor"/>
      </rPr>
      <t>（2026/7/9刷入公司账户）</t>
    </r>
  </si>
  <si>
    <t>胡奕涵</t>
  </si>
  <si>
    <t>吴以荣</t>
  </si>
  <si>
    <t>黄梓岩</t>
  </si>
  <si>
    <t>万齐悦</t>
  </si>
  <si>
    <t>吴征东</t>
  </si>
  <si>
    <r>
      <rPr>
        <sz val="11"/>
        <color theme="1"/>
        <rFont val="宋体"/>
        <charset val="134"/>
        <scheme val="minor"/>
      </rPr>
      <t>游泳培训1对1，加688办理年卡</t>
    </r>
    <r>
      <rPr>
        <sz val="11"/>
        <color rgb="FFFF0000"/>
        <rFont val="宋体"/>
        <charset val="134"/>
        <scheme val="minor"/>
      </rPr>
      <t>（合并付款：2568元）</t>
    </r>
  </si>
  <si>
    <t>涂保金</t>
  </si>
  <si>
    <t>两年送一年共三年</t>
  </si>
  <si>
    <t>熊丽荣</t>
  </si>
  <si>
    <t>半年卡</t>
  </si>
  <si>
    <r>
      <rPr>
        <sz val="11"/>
        <color theme="1"/>
        <rFont val="宋体"/>
        <charset val="134"/>
        <scheme val="minor"/>
      </rPr>
      <t>半年卡</t>
    </r>
    <r>
      <rPr>
        <sz val="11"/>
        <color rgb="FFFF0000"/>
        <rFont val="宋体"/>
        <charset val="134"/>
        <scheme val="minor"/>
      </rPr>
      <t>（合并付款：1160元）</t>
    </r>
  </si>
  <si>
    <t>罗玲</t>
  </si>
  <si>
    <r>
      <rPr>
        <sz val="11"/>
        <color theme="1"/>
        <rFont val="宋体"/>
        <charset val="134"/>
        <scheme val="minor"/>
      </rPr>
      <t>半年卡</t>
    </r>
    <r>
      <rPr>
        <sz val="11"/>
        <color rgb="FFFF0000"/>
        <rFont val="宋体"/>
        <charset val="134"/>
        <scheme val="minor"/>
      </rPr>
      <t>（合并付款：1160元）（合同未签字）</t>
    </r>
  </si>
  <si>
    <t>徐兰</t>
  </si>
  <si>
    <t>双月畅游卡*2，送2张周卡</t>
  </si>
  <si>
    <t>万煜煊</t>
  </si>
  <si>
    <t>年卡加180换成游泳培训1对4</t>
  </si>
  <si>
    <t>李兆彬</t>
  </si>
  <si>
    <t>美团验券月卡285</t>
  </si>
  <si>
    <t>硅胶泳帽*3/成人泳裤*1</t>
  </si>
  <si>
    <t>水*14/纸*3/尖叫*1/东方树叶*1</t>
  </si>
  <si>
    <t>39.9*1</t>
  </si>
  <si>
    <t>14.9*1/19.9*1</t>
  </si>
  <si>
    <t>龚依宸</t>
  </si>
  <si>
    <r>
      <rPr>
        <sz val="11"/>
        <color theme="1"/>
        <rFont val="宋体"/>
        <charset val="134"/>
        <scheme val="minor"/>
      </rPr>
      <t>一对四送双月畅游卡（</t>
    </r>
    <r>
      <rPr>
        <sz val="11"/>
        <color rgb="FFFF0000"/>
        <rFont val="宋体"/>
        <charset val="134"/>
        <scheme val="minor"/>
      </rPr>
      <t>合同未签字</t>
    </r>
    <r>
      <rPr>
        <sz val="11"/>
        <color theme="1"/>
        <rFont val="宋体"/>
        <charset val="134"/>
        <scheme val="minor"/>
      </rPr>
      <t>）</t>
    </r>
  </si>
  <si>
    <t>张雨婷</t>
  </si>
  <si>
    <t>金沙小学4（3）班</t>
  </si>
  <si>
    <t>陶玥希</t>
  </si>
  <si>
    <t>一对四送双月畅游卡</t>
  </si>
  <si>
    <t>裘星</t>
  </si>
  <si>
    <r>
      <rPr>
        <sz val="11"/>
        <color theme="1"/>
        <rFont val="宋体"/>
        <charset val="134"/>
        <scheme val="minor"/>
      </rPr>
      <t>儿童双月卡（</t>
    </r>
    <r>
      <rPr>
        <sz val="11"/>
        <color rgb="FFFF0000"/>
        <rFont val="宋体"/>
        <charset val="134"/>
        <scheme val="minor"/>
      </rPr>
      <t>合同未签字</t>
    </r>
    <r>
      <rPr>
        <sz val="11"/>
        <color theme="1"/>
        <rFont val="宋体"/>
        <charset val="134"/>
        <scheme val="minor"/>
      </rPr>
      <t>）</t>
    </r>
  </si>
  <si>
    <t>叶逸宸</t>
  </si>
  <si>
    <t>年卡，送健身三件套</t>
  </si>
  <si>
    <t>范文涛</t>
  </si>
  <si>
    <t>吴嘉仪</t>
  </si>
  <si>
    <t>美团月卡286</t>
  </si>
  <si>
    <t>万珊珊</t>
  </si>
  <si>
    <t>美团月卡288</t>
  </si>
  <si>
    <t>朱艺坤</t>
  </si>
  <si>
    <r>
      <rPr>
        <sz val="11"/>
        <color theme="1"/>
        <rFont val="宋体"/>
        <charset val="134"/>
        <scheme val="minor"/>
      </rPr>
      <t>学生双月卡（</t>
    </r>
    <r>
      <rPr>
        <sz val="11"/>
        <color rgb="FFFF0000"/>
        <rFont val="宋体"/>
        <charset val="134"/>
        <scheme val="minor"/>
      </rPr>
      <t>合同未签字</t>
    </r>
    <r>
      <rPr>
        <sz val="11"/>
        <color theme="1"/>
        <rFont val="宋体"/>
        <charset val="134"/>
        <scheme val="minor"/>
      </rPr>
      <t>）</t>
    </r>
  </si>
  <si>
    <t>水*12/外*2/溶*1/尖叫*1/牛*1/维他*1</t>
  </si>
  <si>
    <t>鼻夹*1</t>
  </si>
  <si>
    <t>报了游泳培训班，双人儿童年卡</t>
  </si>
  <si>
    <t>李青</t>
  </si>
  <si>
    <t>熊艺珂/熊艺琳</t>
  </si>
  <si>
    <t>儿童月卡*2</t>
  </si>
  <si>
    <t>刘昌</t>
  </si>
  <si>
    <t>补差价升级年卡</t>
  </si>
  <si>
    <t>罗嘉仪</t>
  </si>
  <si>
    <t>长训班30节课</t>
  </si>
  <si>
    <t>龚嘉亿</t>
  </si>
  <si>
    <t>徐晖</t>
  </si>
  <si>
    <r>
      <rPr>
        <sz val="11"/>
        <color theme="1"/>
        <rFont val="宋体"/>
        <charset val="134"/>
        <scheme val="minor"/>
      </rPr>
      <t>小孩徐景和18942627347游泳培训一对一改成一对二补差价1000</t>
    </r>
    <r>
      <rPr>
        <sz val="11"/>
        <color rgb="FFFF0000"/>
        <rFont val="宋体"/>
        <charset val="134"/>
        <scheme val="minor"/>
      </rPr>
      <t>（合同未签字）</t>
    </r>
  </si>
  <si>
    <t>姜诗颖</t>
  </si>
  <si>
    <t>游泳培训1对4（19:00有时间上课）</t>
  </si>
  <si>
    <t>晏怡然</t>
  </si>
  <si>
    <r>
      <rPr>
        <sz val="11"/>
        <color theme="1"/>
        <rFont val="宋体"/>
        <charset val="134"/>
        <scheme val="minor"/>
      </rPr>
      <t>年卡送三个月</t>
    </r>
    <r>
      <rPr>
        <sz val="11"/>
        <color rgb="FFFF0000"/>
        <rFont val="宋体"/>
        <charset val="134"/>
        <scheme val="minor"/>
      </rPr>
      <t>（合同未签字）</t>
    </r>
  </si>
  <si>
    <t>水*22/纸*5/脉动*1/外星人*1</t>
  </si>
  <si>
    <t>布泳帽*4/鼻夹*1</t>
  </si>
  <si>
    <t>19.9*1/59.9*1</t>
  </si>
  <si>
    <t>李海芳 龚小亲</t>
  </si>
  <si>
    <t>19100103536 18779189212</t>
  </si>
  <si>
    <t>定金</t>
  </si>
  <si>
    <t>邓晶晶</t>
  </si>
  <si>
    <t>唐丽其</t>
  </si>
  <si>
    <t>廖醒目</t>
  </si>
  <si>
    <t>付媛可</t>
  </si>
  <si>
    <t>月卡送15天</t>
  </si>
  <si>
    <t>一对二泳培*2，赠送两个月*2（补余）</t>
  </si>
  <si>
    <t>,9310764</t>
  </si>
  <si>
    <t>水*5/纸*1/外*1</t>
  </si>
  <si>
    <t>鼻夹*1/布泳帽*1/硅胶帽*1</t>
  </si>
  <si>
    <t xml:space="preserve"> </t>
  </si>
  <si>
    <t>农夫山泉</t>
  </si>
  <si>
    <t>纸</t>
  </si>
  <si>
    <t>外星人</t>
  </si>
  <si>
    <t>水溶</t>
  </si>
  <si>
    <t>维他命</t>
  </si>
  <si>
    <t>脉动</t>
  </si>
  <si>
    <t>尖叫</t>
  </si>
  <si>
    <t>红牛</t>
  </si>
  <si>
    <t>东方树叶</t>
  </si>
  <si>
    <t>收入</t>
  </si>
  <si>
    <t>成本</t>
  </si>
  <si>
    <t>利润</t>
  </si>
  <si>
    <t>进价</t>
  </si>
  <si>
    <t>售价</t>
  </si>
  <si>
    <t>实际库存量</t>
  </si>
  <si>
    <t>6月合计</t>
  </si>
  <si>
    <t>6月进货</t>
  </si>
  <si>
    <t>应有库存量</t>
  </si>
  <si>
    <t>泳镜</t>
  </si>
  <si>
    <t>硅胶泳帽</t>
  </si>
  <si>
    <t>布泳帽</t>
  </si>
  <si>
    <t>成人泳裤</t>
  </si>
  <si>
    <t>中童泳裤</t>
  </si>
  <si>
    <t>小童泳裤</t>
  </si>
  <si>
    <t>小童泳衣</t>
  </si>
  <si>
    <t>中童泳衣</t>
  </si>
  <si>
    <t>大童泳衣</t>
  </si>
  <si>
    <t>鼻夹</t>
  </si>
  <si>
    <t>礼品赠送明细表</t>
  </si>
  <si>
    <t>会员姓名</t>
  </si>
  <si>
    <t>会员电话</t>
  </si>
  <si>
    <t>办卡金额</t>
  </si>
  <si>
    <t>礼品</t>
  </si>
  <si>
    <t>数量</t>
  </si>
  <si>
    <t>202+6/7/3</t>
  </si>
  <si>
    <t>余静思</t>
  </si>
  <si>
    <t>布泳帽*3/泳镜*3/中童泳衣*1/中童泳裤*2</t>
  </si>
  <si>
    <t>温勤勤</t>
  </si>
  <si>
    <t>次卡*7/周卡*2/泳帽*2/泳镜*2</t>
  </si>
  <si>
    <t>李小敏</t>
  </si>
  <si>
    <t>游泳三件套*1</t>
  </si>
  <si>
    <t>王若羲</t>
  </si>
  <si>
    <t>刘星岳</t>
  </si>
  <si>
    <t>瑜伽垫</t>
  </si>
  <si>
    <t>刘星牧</t>
  </si>
  <si>
    <t>吨吨杯</t>
  </si>
  <si>
    <t>发票抬头</t>
  </si>
  <si>
    <t>开票金额</t>
  </si>
  <si>
    <t>开票情况</t>
  </si>
  <si>
    <t>会员领取情况</t>
  </si>
  <si>
    <t>开票名称</t>
  </si>
  <si>
    <t>开票税号</t>
  </si>
  <si>
    <t>开票地址、电话</t>
  </si>
  <si>
    <t>开票账户</t>
  </si>
  <si>
    <t>熊婷</t>
  </si>
  <si>
    <t>熊海燕</t>
  </si>
  <si>
    <t>欧阳霞</t>
  </si>
  <si>
    <t>办卡日期</t>
  </si>
  <si>
    <t>会员</t>
  </si>
  <si>
    <t>手机</t>
  </si>
  <si>
    <t>收入类型</t>
  </si>
  <si>
    <t>卡名/课名</t>
  </si>
  <si>
    <t>次数/时效</t>
  </si>
  <si>
    <t>赠送部分</t>
  </si>
  <si>
    <t>实付金额</t>
  </si>
  <si>
    <t>礼品名称</t>
  </si>
  <si>
    <t>单位</t>
  </si>
  <si>
    <t>规格</t>
  </si>
  <si>
    <t>期初库存</t>
  </si>
  <si>
    <t>2024年9月</t>
  </si>
  <si>
    <t>2024年10月</t>
  </si>
  <si>
    <t>2024年11月</t>
  </si>
  <si>
    <t>2024年12月</t>
  </si>
  <si>
    <t>本月库存量</t>
  </si>
  <si>
    <t>总额</t>
  </si>
  <si>
    <t>表一</t>
  </si>
  <si>
    <t>表二</t>
  </si>
  <si>
    <t>用完</t>
  </si>
  <si>
    <t>26.1.2</t>
  </si>
  <si>
    <t>用完-1000</t>
  </si>
  <si>
    <t>26.4.2</t>
  </si>
  <si>
    <t>500（用完）</t>
  </si>
  <si>
    <t>剩余</t>
  </si>
  <si>
    <t>器械名称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</si>
</sst>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49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4"/>
      <color theme="1"/>
      <name val="宋体"/>
      <charset val="134"/>
      <scheme val="minor"/>
    </font>
    <font>
      <b/>
      <sz val="14"/>
      <name val="宋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新宋体"/>
      <charset val="134"/>
    </font>
    <font>
      <b/>
      <sz val="12"/>
      <name val="新宋体"/>
      <charset val="134"/>
    </font>
    <font>
      <b/>
      <sz val="12"/>
      <color theme="1"/>
      <name val="新宋体"/>
      <charset val="134"/>
    </font>
    <font>
      <strike/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10" applyNumberFormat="0" applyAlignment="0" applyProtection="0">
      <alignment vertical="center"/>
    </xf>
    <xf numFmtId="0" fontId="36" fillId="12" borderId="11" applyNumberFormat="0" applyAlignment="0" applyProtection="0">
      <alignment vertical="center"/>
    </xf>
    <xf numFmtId="0" fontId="37" fillId="12" borderId="10" applyNumberFormat="0" applyAlignment="0" applyProtection="0">
      <alignment vertical="center"/>
    </xf>
    <xf numFmtId="0" fontId="38" fillId="13" borderId="12" applyNumberFormat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1" xfId="0" applyFill="1" applyBorder="1">
      <alignment vertical="center"/>
    </xf>
    <xf numFmtId="0" fontId="16" fillId="0" borderId="0" xfId="0" applyFont="1" applyFill="1">
      <alignment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7" fontId="18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49" fontId="19" fillId="6" borderId="1" xfId="0" applyNumberFormat="1" applyFont="1" applyFill="1" applyBorder="1" applyAlignment="1" applyProtection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2" fillId="3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177" fontId="16" fillId="3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7" fillId="0" borderId="1" xfId="6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0000"/>
      <color rgb="00FFC00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2" sqref="A2:B2"/>
    </sheetView>
  </sheetViews>
  <sheetFormatPr defaultColWidth="9" defaultRowHeight="16.8" outlineLevelCol="5"/>
  <cols>
    <col min="1" max="1" width="12.5" customWidth="1"/>
    <col min="2" max="2" width="33.375" customWidth="1"/>
    <col min="3" max="3" width="37.5" customWidth="1"/>
    <col min="4" max="4" width="24.375" style="7" customWidth="1"/>
    <col min="5" max="5" width="67.375" customWidth="1"/>
    <col min="6" max="6" width="30.125" customWidth="1"/>
  </cols>
  <sheetData>
    <row r="1" s="99" customFormat="1" ht="30" customHeight="1" spans="1:6">
      <c r="A1" s="100" t="s">
        <v>0</v>
      </c>
      <c r="B1" s="100"/>
      <c r="C1" s="100"/>
      <c r="D1" s="100"/>
      <c r="E1" s="100"/>
      <c r="F1" s="100"/>
    </row>
    <row r="2" s="99" customFormat="1" ht="25" customHeight="1" spans="1:6">
      <c r="A2" s="100" t="s">
        <v>1</v>
      </c>
      <c r="B2" s="100"/>
      <c r="C2" s="100" t="s">
        <v>2</v>
      </c>
      <c r="D2" s="100" t="s">
        <v>3</v>
      </c>
      <c r="E2" s="100" t="s">
        <v>4</v>
      </c>
      <c r="F2" s="100" t="s">
        <v>5</v>
      </c>
    </row>
    <row r="3" s="99" customFormat="1" ht="40" customHeight="1" spans="1:6">
      <c r="A3" s="82" t="s">
        <v>6</v>
      </c>
      <c r="B3" s="101" t="s">
        <v>7</v>
      </c>
      <c r="C3" s="82" t="s">
        <v>8</v>
      </c>
      <c r="D3" s="102" t="s">
        <v>9</v>
      </c>
      <c r="E3" s="101" t="s">
        <v>10</v>
      </c>
      <c r="F3" s="103" t="s">
        <v>11</v>
      </c>
    </row>
    <row r="4" s="99" customFormat="1" ht="80" customHeight="1" spans="1:6">
      <c r="A4" s="82"/>
      <c r="B4" s="82"/>
      <c r="C4" s="82" t="s">
        <v>12</v>
      </c>
      <c r="D4" s="104" t="s">
        <v>13</v>
      </c>
      <c r="E4" s="105" t="s">
        <v>14</v>
      </c>
      <c r="F4" s="82"/>
    </row>
    <row r="5" s="99" customFormat="1" ht="40" customHeight="1" spans="1:6">
      <c r="A5" s="82"/>
      <c r="B5" s="82"/>
      <c r="C5" s="82" t="s">
        <v>15</v>
      </c>
      <c r="D5" s="104" t="s">
        <v>16</v>
      </c>
      <c r="E5" s="103" t="s">
        <v>17</v>
      </c>
      <c r="F5" s="82"/>
    </row>
    <row r="6" s="99" customFormat="1" ht="40" customHeight="1" spans="1:6">
      <c r="A6" s="82"/>
      <c r="B6" s="82"/>
      <c r="C6" s="82" t="s">
        <v>18</v>
      </c>
      <c r="D6" s="104" t="s">
        <v>19</v>
      </c>
      <c r="E6" s="103" t="s">
        <v>20</v>
      </c>
      <c r="F6" s="82"/>
    </row>
    <row r="7" s="99" customFormat="1" ht="40" customHeight="1" spans="1:6">
      <c r="A7" s="82" t="s">
        <v>21</v>
      </c>
      <c r="B7" s="82" t="s">
        <v>22</v>
      </c>
      <c r="C7" s="82" t="s">
        <v>22</v>
      </c>
      <c r="D7" s="104" t="s">
        <v>23</v>
      </c>
      <c r="E7" s="103" t="s">
        <v>24</v>
      </c>
      <c r="F7" s="103" t="s">
        <v>25</v>
      </c>
    </row>
    <row r="8" s="99" customFormat="1" ht="40" customHeight="1" spans="1:6">
      <c r="A8" s="106" t="s">
        <v>26</v>
      </c>
      <c r="B8" s="82" t="s">
        <v>27</v>
      </c>
      <c r="C8" s="82" t="s">
        <v>27</v>
      </c>
      <c r="D8" s="102" t="s">
        <v>28</v>
      </c>
      <c r="E8" s="82" t="s">
        <v>29</v>
      </c>
      <c r="F8" s="107" t="s">
        <v>30</v>
      </c>
    </row>
    <row r="9" s="99" customFormat="1" ht="40" customHeight="1" spans="1:6">
      <c r="A9" s="108"/>
      <c r="B9" s="82" t="s">
        <v>31</v>
      </c>
      <c r="C9" s="82" t="s">
        <v>32</v>
      </c>
      <c r="D9" s="102" t="s">
        <v>33</v>
      </c>
      <c r="E9" s="82" t="s">
        <v>34</v>
      </c>
      <c r="F9" s="109"/>
    </row>
    <row r="10" spans="1:6">
      <c r="A10" s="110"/>
      <c r="B10" s="111"/>
      <c r="C10" s="111"/>
      <c r="D10" s="111"/>
      <c r="E10" s="111"/>
      <c r="F10" s="111"/>
    </row>
    <row r="11" spans="1:6">
      <c r="A11" s="111"/>
      <c r="B11" s="111"/>
      <c r="C11" s="111"/>
      <c r="D11" s="111"/>
      <c r="E11" s="111"/>
      <c r="F11" s="111"/>
    </row>
    <row r="12" spans="1:6">
      <c r="A12" s="111"/>
      <c r="B12" s="111"/>
      <c r="C12" s="111"/>
      <c r="D12" s="111"/>
      <c r="E12" s="111"/>
      <c r="F12" s="111"/>
    </row>
    <row r="13" spans="1:6">
      <c r="A13" s="111"/>
      <c r="B13" s="111"/>
      <c r="C13" s="111"/>
      <c r="D13" s="111"/>
      <c r="E13" s="111"/>
      <c r="F13" s="111"/>
    </row>
  </sheetData>
  <mergeCells count="8">
    <mergeCell ref="A1:F1"/>
    <mergeCell ref="A2:B2"/>
    <mergeCell ref="A3:A6"/>
    <mergeCell ref="A8:A9"/>
    <mergeCell ref="B3:B6"/>
    <mergeCell ref="F3:F6"/>
    <mergeCell ref="F8:F9"/>
    <mergeCell ref="A10:F13"/>
  </mergeCells>
  <hyperlinks>
    <hyperlink ref="D3" location="收入汇总表!A1" display="收入汇总表!A1"/>
    <hyperlink ref="D4" location="收入流水表!A1" display="收入流水表!A1"/>
    <hyperlink ref="D5" location="水吧销售明细表!A1" display="水吧销售明细表!A1"/>
    <hyperlink ref="D6" location="游泳装备销售明细表!A1" display="游泳装备销售明细表!A1"/>
    <hyperlink ref="D7" location="发票信息登记表!A1" display="发票信息登记表!A1"/>
    <hyperlink ref="D9" location="固定资产盘点表!A1" display="固定资产盘点表!A1"/>
    <hyperlink ref="D8" location="礼品盘点表!A1" display="礼品盘点表!A1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workbookViewId="0">
      <pane ySplit="3" topLeftCell="A4" activePane="bottomLeft" state="frozen"/>
      <selection/>
      <selection pane="bottomLeft" activeCell="B12" sqref="B12:D15"/>
    </sheetView>
  </sheetViews>
  <sheetFormatPr defaultColWidth="9" defaultRowHeight="15" customHeight="1"/>
  <cols>
    <col min="1" max="1" width="12.375" style="88" customWidth="1"/>
    <col min="2" max="5" width="10.625" style="88" customWidth="1"/>
    <col min="6" max="6" width="12.625" style="88" customWidth="1"/>
    <col min="7" max="10" width="10.625" style="88" customWidth="1"/>
    <col min="11" max="12" width="12.625" style="88" customWidth="1"/>
    <col min="13" max="13" width="15.625" style="88" customWidth="1"/>
    <col min="14" max="17" width="10.625" style="88" customWidth="1"/>
    <col min="18" max="18" width="9.625" style="88" customWidth="1"/>
    <col min="19" max="19" width="9.5" style="88" customWidth="1"/>
    <col min="20" max="20" width="9" style="88"/>
    <col min="21" max="21" width="15" style="88" customWidth="1"/>
    <col min="22" max="16384" width="9" style="2"/>
  </cols>
  <sheetData>
    <row r="1" customFormat="1" ht="30" customHeight="1" spans="1:21">
      <c r="A1" s="89" t="s">
        <v>35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 customFormat="1" ht="25" customHeight="1" spans="1:21">
      <c r="A2" s="40"/>
      <c r="B2" s="90" t="s">
        <v>36</v>
      </c>
      <c r="C2" s="90"/>
      <c r="D2" s="90"/>
      <c r="E2" s="90"/>
      <c r="F2" s="90"/>
      <c r="G2" s="91" t="s">
        <v>37</v>
      </c>
      <c r="H2" s="92"/>
      <c r="I2" s="92"/>
      <c r="J2" s="92"/>
      <c r="K2" s="92"/>
      <c r="L2" s="93"/>
      <c r="M2" s="90" t="s">
        <v>38</v>
      </c>
      <c r="N2" s="90" t="s">
        <v>39</v>
      </c>
      <c r="O2" s="90"/>
      <c r="P2" s="90"/>
      <c r="Q2" s="90"/>
      <c r="R2" s="90" t="s">
        <v>40</v>
      </c>
      <c r="S2" s="90"/>
      <c r="T2" s="40"/>
      <c r="U2" s="40" t="s">
        <v>41</v>
      </c>
    </row>
    <row r="3" customFormat="1" ht="25" customHeight="1" spans="1:21">
      <c r="A3" s="40" t="s">
        <v>42</v>
      </c>
      <c r="B3" s="40" t="s">
        <v>43</v>
      </c>
      <c r="C3" s="40" t="s">
        <v>44</v>
      </c>
      <c r="D3" s="40" t="s">
        <v>45</v>
      </c>
      <c r="E3" s="54" t="s">
        <v>46</v>
      </c>
      <c r="F3" s="40" t="s">
        <v>47</v>
      </c>
      <c r="G3" s="40" t="s">
        <v>48</v>
      </c>
      <c r="H3" s="40" t="s">
        <v>49</v>
      </c>
      <c r="I3" s="40" t="s">
        <v>50</v>
      </c>
      <c r="J3" s="40" t="s">
        <v>51</v>
      </c>
      <c r="K3" s="40" t="s">
        <v>52</v>
      </c>
      <c r="L3" s="40" t="s">
        <v>47</v>
      </c>
      <c r="M3" s="40" t="s">
        <v>53</v>
      </c>
      <c r="N3" s="40" t="s">
        <v>54</v>
      </c>
      <c r="O3" s="40" t="s">
        <v>55</v>
      </c>
      <c r="P3" s="40" t="s">
        <v>56</v>
      </c>
      <c r="Q3" s="40" t="s">
        <v>57</v>
      </c>
      <c r="R3" s="40" t="s">
        <v>58</v>
      </c>
      <c r="S3" s="40" t="s">
        <v>59</v>
      </c>
      <c r="T3" s="40" t="s">
        <v>60</v>
      </c>
      <c r="U3" s="40"/>
    </row>
    <row r="4" customFormat="1" customHeight="1" spans="1:21">
      <c r="A4" s="94">
        <v>46204</v>
      </c>
      <c r="B4" s="95">
        <f>SUMIFS(收入流水表!J:J,收入流水表!C:C,$B$3,收入流水表!A:A,A4)</f>
        <v>297</v>
      </c>
      <c r="C4" s="95">
        <f>SUMIFS(收入流水表!J:J,收入流水表!C:C,$C$3,收入流水表!A:A,A4)</f>
        <v>0</v>
      </c>
      <c r="D4" s="95">
        <f>SUMIFS(收入流水表!J:J,收入流水表!C:C,$D$3,收入流水表!A:A,A4)</f>
        <v>0</v>
      </c>
      <c r="E4" s="9">
        <f>SUMIFS(收入流水表!J:J,收入流水表!C:C,$E$3,收入流水表!A:A,A4)</f>
        <v>0</v>
      </c>
      <c r="F4" s="9">
        <f t="shared" ref="F4:F7" si="0">SUM(B4:E4)</f>
        <v>297</v>
      </c>
      <c r="G4" s="9">
        <f>SUMIFS(收入流水表!J:J,收入流水表!C:C,$G$3,收入流水表!A:A,A4)</f>
        <v>51</v>
      </c>
      <c r="H4" s="9">
        <f>SUMIFS(收入流水表!J:J,收入流水表!C:C,$H$3,收入流水表!A:A,A4)</f>
        <v>0</v>
      </c>
      <c r="I4" s="9">
        <f>SUMIFS(收入流水表!J:J,收入流水表!C:C,$I$3,收入流水表!A:A,A4)</f>
        <v>49.7</v>
      </c>
      <c r="J4" s="9">
        <f>SUMIFS(收入流水表!J:J,收入流水表!C:C,$J$3,收入流水表!A:A,A4)</f>
        <v>19.9</v>
      </c>
      <c r="K4" s="9">
        <f>SUMIFS(收入流水表!J:J,收入流水表!C:C,$K$3,收入流水表!A:A,A4)</f>
        <v>0</v>
      </c>
      <c r="L4" s="9">
        <f t="shared" ref="L4:L7" si="1">SUM(G4:K4)</f>
        <v>120.6</v>
      </c>
      <c r="M4" s="9">
        <f>F4+L4-K4</f>
        <v>417.6</v>
      </c>
      <c r="N4" s="9">
        <f>SUMIFS(收入流水表!J:J,收入流水表!I:I,$N$3,收入流水表!A:A,A4)</f>
        <v>297</v>
      </c>
      <c r="O4" s="9">
        <f>SUMIFS(收入流水表!J:J,收入流水表!I:I,$O$3,收入流水表!A:A,A4)</f>
        <v>0</v>
      </c>
      <c r="P4" s="9">
        <f>SUMIFS(收入流水表!J:J,收入流水表!I:I,$P$3,收入流水表!A:A,A4)</f>
        <v>0</v>
      </c>
      <c r="Q4" s="9">
        <f>SUMIFS(收入流水表!J:J,收入流水表!I:I,$Q$3,收入流水表!A:A,A4)</f>
        <v>0</v>
      </c>
      <c r="R4" s="9"/>
      <c r="S4" s="9"/>
      <c r="T4" s="9"/>
      <c r="U4" s="9"/>
    </row>
    <row r="5" customFormat="1" customHeight="1" spans="1:21">
      <c r="A5" s="94">
        <v>46205</v>
      </c>
      <c r="B5" s="95">
        <f>SUMIFS(收入流水表!J:J,收入流水表!C:C,$B$3,收入流水表!A:A,A5)</f>
        <v>574</v>
      </c>
      <c r="C5" s="95">
        <f>SUMIFS(收入流水表!J:J,收入流水表!C:C,$C$3,收入流水表!A:A,A5)</f>
        <v>0</v>
      </c>
      <c r="D5" s="95">
        <f>SUMIFS(收入流水表!J:J,收入流水表!C:C,$D$3,收入流水表!A:A,A5)</f>
        <v>880</v>
      </c>
      <c r="E5" s="9">
        <f>SUMIFS(收入流水表!J:J,收入流水表!C:C,$E$3,收入流水表!A:A,A5)</f>
        <v>0</v>
      </c>
      <c r="F5" s="9">
        <f t="shared" si="0"/>
        <v>1454</v>
      </c>
      <c r="G5" s="9">
        <f>SUMIFS(收入流水表!J:J,收入流水表!C:C,$G$3,收入流水表!A:A,A5)</f>
        <v>61</v>
      </c>
      <c r="H5" s="9">
        <f>SUMIFS(收入流水表!J:J,收入流水表!C:C,$H$3,收入流水表!A:A,A5)</f>
        <v>0</v>
      </c>
      <c r="I5" s="9">
        <f>SUMIFS(收入流水表!J:J,收入流水表!C:C,$I$3,收入流水表!A:A,A5)</f>
        <v>19.9</v>
      </c>
      <c r="J5" s="9">
        <f>SUMIFS(收入流水表!J:J,收入流水表!C:C,$J$3,收入流水表!A:A,A5)</f>
        <v>19.9</v>
      </c>
      <c r="K5" s="9">
        <f>SUMIFS(收入流水表!J:J,收入流水表!C:C,$K$3,收入流水表!A:A,A5)</f>
        <v>0</v>
      </c>
      <c r="L5" s="9">
        <f t="shared" si="1"/>
        <v>100.8</v>
      </c>
      <c r="M5" s="9">
        <f t="shared" ref="M4:M7" si="2">F5+L5</f>
        <v>1554.8</v>
      </c>
      <c r="N5" s="9">
        <f>SUMIFS(收入流水表!J:J,收入流水表!I:I,$N$3,收入流水表!A:A,A5)</f>
        <v>1454</v>
      </c>
      <c r="O5" s="9">
        <f>SUMIFS(收入流水表!J:J,收入流水表!I:I,$O$3,收入流水表!A:A,A5)</f>
        <v>0</v>
      </c>
      <c r="P5" s="9">
        <f>SUMIFS(收入流水表!J:J,收入流水表!I:I,$P$3,收入流水表!A:A,A5)</f>
        <v>0</v>
      </c>
      <c r="Q5" s="9">
        <f>SUMIFS(收入流水表!J:J,收入流水表!I:I,$Q$3,收入流水表!A:A,A5)</f>
        <v>0</v>
      </c>
      <c r="R5" s="9"/>
      <c r="S5" s="9"/>
      <c r="T5" s="9"/>
      <c r="U5" s="9"/>
    </row>
    <row r="6" customFormat="1" customHeight="1" spans="1:21">
      <c r="A6" s="94">
        <v>46206</v>
      </c>
      <c r="B6" s="95">
        <f>SUMIFS(收入流水表!J:J,收入流水表!C:C,$B$3,收入流水表!A:A,A6)</f>
        <v>1298</v>
      </c>
      <c r="C6" s="95">
        <f>SUMIFS(收入流水表!J:J,收入流水表!C:C,$C$3,收入流水表!A:A,A6)</f>
        <v>0</v>
      </c>
      <c r="D6" s="95">
        <f>SUMIFS(收入流水表!J:J,收入流水表!C:C,$D$3,收入流水表!A:A,A6)</f>
        <v>3680</v>
      </c>
      <c r="E6" s="9">
        <f>SUMIFS(收入流水表!J:J,收入流水表!C:C,$E$3,收入流水表!A:A,A6)</f>
        <v>0</v>
      </c>
      <c r="F6" s="9">
        <f t="shared" si="0"/>
        <v>4978</v>
      </c>
      <c r="G6" s="9">
        <f>SUMIFS(收入流水表!J:J,收入流水表!C:C,$G$3,收入流水表!A:A,A6)</f>
        <v>87</v>
      </c>
      <c r="H6" s="9">
        <f>SUMIFS(收入流水表!J:J,收入流水表!C:C,$H$3,收入流水表!A:A,A6)</f>
        <v>0</v>
      </c>
      <c r="I6" s="9">
        <f>SUMIFS(收入流水表!J:J,收入流水表!C:C,$I$3,收入流水表!A:A,A6)</f>
        <v>19.9</v>
      </c>
      <c r="J6" s="9">
        <f>SUMIFS(收入流水表!J:J,收入流水表!C:C,$J$3,收入流水表!A:A,A6)</f>
        <v>19.9</v>
      </c>
      <c r="K6" s="9">
        <f>SUMIFS(收入流水表!J:J,收入流水表!C:C,$K$3,收入流水表!A:A,A6)</f>
        <v>0</v>
      </c>
      <c r="L6" s="9">
        <f t="shared" si="1"/>
        <v>126.8</v>
      </c>
      <c r="M6" s="9">
        <f>F6+L6-K6</f>
        <v>5104.8</v>
      </c>
      <c r="N6" s="9">
        <f>SUMIFS(收入流水表!J:J,收入流水表!I:I,$N$3,收入流水表!A:A,A6)</f>
        <v>4679</v>
      </c>
      <c r="O6" s="9">
        <f>SUMIFS(收入流水表!J:J,收入流水表!I:I,$O$3,收入流水表!A:A,A6)</f>
        <v>299</v>
      </c>
      <c r="P6" s="9">
        <f>SUMIFS(收入流水表!J:J,收入流水表!I:I,$P$3,收入流水表!A:A,A6)</f>
        <v>0</v>
      </c>
      <c r="Q6" s="9">
        <f>SUMIFS(收入流水表!J:J,收入流水表!I:I,$Q$3,收入流水表!A:A,A6)</f>
        <v>0</v>
      </c>
      <c r="R6" s="9"/>
      <c r="S6" s="9"/>
      <c r="T6" s="9"/>
      <c r="U6" s="9"/>
    </row>
    <row r="7" customFormat="1" ht="17.6" spans="1:21">
      <c r="A7" s="94">
        <v>46207</v>
      </c>
      <c r="B7" s="95">
        <f>SUMIFS(收入流水表!J:J,收入流水表!C:C,$B$3,收入流水表!A:A,A7)</f>
        <v>1720</v>
      </c>
      <c r="C7" s="95">
        <f>SUMIFS(收入流水表!J:J,收入流水表!C:C,$C$3,收入流水表!A:A,A7)</f>
        <v>0</v>
      </c>
      <c r="D7" s="95">
        <f>SUMIFS(收入流水表!J:J,收入流水表!C:C,$D$3,收入流水表!A:A,A7)</f>
        <v>5738</v>
      </c>
      <c r="E7" s="9">
        <f>SUMIFS(收入流水表!J:J,收入流水表!C:C,$E$3,收入流水表!A:A,A7)</f>
        <v>0</v>
      </c>
      <c r="F7" s="9">
        <f t="shared" si="0"/>
        <v>7458</v>
      </c>
      <c r="G7" s="9">
        <f>SUMIFS(收入流水表!J:J,收入流水表!C:C,$G$3,收入流水表!A:A,A7)</f>
        <v>48</v>
      </c>
      <c r="H7" s="9">
        <f>SUMIFS(收入流水表!J:J,收入流水表!C:C,$H$3,收入流水表!A:A,A7)</f>
        <v>35</v>
      </c>
      <c r="I7" s="9">
        <f>SUMIFS(收入流水表!J:J,收入流水表!C:C,$I$3,收入流水表!A:A,A7)</f>
        <v>0</v>
      </c>
      <c r="J7" s="9">
        <f>SUMIFS(收入流水表!J:J,收入流水表!C:C,$J$3,收入流水表!A:A,A7)</f>
        <v>190</v>
      </c>
      <c r="K7" s="9">
        <f>SUMIFS(收入流水表!J:J,收入流水表!C:C,$K$3,收入流水表!A:A,A7)</f>
        <v>0</v>
      </c>
      <c r="L7" s="9">
        <f t="shared" si="1"/>
        <v>273</v>
      </c>
      <c r="M7" s="9">
        <f t="shared" si="2"/>
        <v>7731</v>
      </c>
      <c r="N7" s="9">
        <f>SUMIFS(收入流水表!J:J,收入流水表!I:I,$N$3,收入流水表!A:A,A7)</f>
        <v>7458</v>
      </c>
      <c r="O7" s="9">
        <f>SUMIFS(收入流水表!J:J,收入流水表!I:I,$O$3,收入流水表!A:A,A7)</f>
        <v>0</v>
      </c>
      <c r="P7" s="9">
        <f>SUMIFS(收入流水表!J:J,收入流水表!I:I,$P$3,收入流水表!A:A,A7)</f>
        <v>0</v>
      </c>
      <c r="Q7" s="9">
        <f>SUMIFS(收入流水表!J:J,收入流水表!I:I,$Q$3,收入流水表!A:A,A7)</f>
        <v>0</v>
      </c>
      <c r="R7" s="9"/>
      <c r="S7" s="9"/>
      <c r="T7" s="9"/>
      <c r="U7" s="9"/>
    </row>
    <row r="8" customFormat="1" customHeight="1" spans="1:21">
      <c r="A8" s="94">
        <v>46208</v>
      </c>
      <c r="B8" s="95">
        <f>SUMIFS(收入流水表!J:J,收入流水表!C:C,$B$3,收入流水表!A:A,A8)</f>
        <v>2517</v>
      </c>
      <c r="C8" s="95">
        <f>SUMIFS(收入流水表!J:J,收入流水表!C:C,$C$3,收入流水表!A:A,A8)</f>
        <v>0</v>
      </c>
      <c r="D8" s="95">
        <f>SUMIFS(收入流水表!J:J,收入流水表!C:C,$D$3,收入流水表!A:A,A8)</f>
        <v>6320</v>
      </c>
      <c r="E8" s="9">
        <f>SUMIFS(收入流水表!J:J,收入流水表!C:C,$E$3,收入流水表!A:A,A8)</f>
        <v>0</v>
      </c>
      <c r="F8" s="9">
        <f t="shared" ref="F8:F37" si="3">SUM(B8:E8)</f>
        <v>8837</v>
      </c>
      <c r="G8" s="9">
        <f>SUMIFS(收入流水表!J:J,收入流水表!C:C,$G$3,收入流水表!A:A,A8)</f>
        <v>58</v>
      </c>
      <c r="H8" s="9">
        <f>SUMIFS(收入流水表!J:J,收入流水表!C:C,$H$3,收入流水表!A:A,A8)</f>
        <v>40</v>
      </c>
      <c r="I8" s="9">
        <f>SUMIFS(收入流水表!J:J,收入流水表!C:C,$I$3,收入流水表!A:A,A8)</f>
        <v>139.5</v>
      </c>
      <c r="J8" s="9">
        <f>SUMIFS(收入流水表!J:J,收入流水表!C:C,$J$3,收入流水表!A:A,A8)</f>
        <v>95</v>
      </c>
      <c r="K8" s="9">
        <f>SUMIFS(收入流水表!J:J,收入流水表!C:C,$K$3,收入流水表!A:A,A8)</f>
        <v>0</v>
      </c>
      <c r="L8" s="9">
        <f t="shared" ref="L8:L37" si="4">SUM(G8:K8)</f>
        <v>332.5</v>
      </c>
      <c r="M8" s="9">
        <f t="shared" ref="M8:M14" si="5">F8+L8</f>
        <v>9169.5</v>
      </c>
      <c r="N8" s="9">
        <f>SUMIFS(收入流水表!J:J,收入流水表!I:I,$N$3,收入流水表!A:A,A8)</f>
        <v>6137</v>
      </c>
      <c r="O8" s="9">
        <f>SUMIFS(收入流水表!J:J,收入流水表!I:I,$O$3,收入流水表!A:A,A8)</f>
        <v>2700</v>
      </c>
      <c r="P8" s="9">
        <f>SUMIFS(收入流水表!J:J,收入流水表!I:I,$P$3,收入流水表!A:A,A8)</f>
        <v>0</v>
      </c>
      <c r="Q8" s="9">
        <f>SUMIFS(收入流水表!J:J,收入流水表!I:I,$Q$3,收入流水表!A:A,A8)</f>
        <v>0</v>
      </c>
      <c r="R8" s="9"/>
      <c r="S8" s="9"/>
      <c r="T8" s="9"/>
      <c r="U8" s="9"/>
    </row>
    <row r="9" customFormat="1" customHeight="1" spans="1:21">
      <c r="A9" s="94">
        <v>46209</v>
      </c>
      <c r="B9" s="95">
        <f>SUMIFS(收入流水表!J:J,收入流水表!C:C,$B$3,收入流水表!A:A,A9)</f>
        <v>2190</v>
      </c>
      <c r="C9" s="95">
        <f>SUMIFS(收入流水表!J:J,收入流水表!C:C,$C$3,收入流水表!A:A,A9)</f>
        <v>0</v>
      </c>
      <c r="D9" s="95">
        <f>SUMIFS(收入流水表!J:J,收入流水表!C:C,$D$3,收入流水表!A:A,A9)</f>
        <v>4848</v>
      </c>
      <c r="E9" s="9">
        <f>SUMIFS(收入流水表!J:J,收入流水表!C:C,$E$3,收入流水表!A:A,A9)</f>
        <v>0</v>
      </c>
      <c r="F9" s="9">
        <f t="shared" si="3"/>
        <v>7038</v>
      </c>
      <c r="G9" s="9">
        <f>SUMIFS(收入流水表!J:J,收入流水表!C:C,$G$3,收入流水表!A:A,A9)</f>
        <v>76</v>
      </c>
      <c r="H9" s="9">
        <f>SUMIFS(收入流水表!J:J,收入流水表!C:C,$H$3,收入流水表!A:A,A9)</f>
        <v>50</v>
      </c>
      <c r="I9" s="9">
        <f>SUMIFS(收入流水表!J:J,收入流水表!C:C,$I$3,收入流水表!A:A,A9)</f>
        <v>74.6</v>
      </c>
      <c r="J9" s="9">
        <f>SUMIFS(收入流水表!J:J,收入流水表!C:C,$J$3,收入流水表!A:A,A9)</f>
        <v>19.9</v>
      </c>
      <c r="K9" s="9">
        <f>SUMIFS(收入流水表!J:J,收入流水表!C:C,$K$3,收入流水表!A:A,A9)</f>
        <v>0</v>
      </c>
      <c r="L9" s="9">
        <f t="shared" si="4"/>
        <v>220.5</v>
      </c>
      <c r="M9" s="9">
        <f t="shared" si="5"/>
        <v>7258.5</v>
      </c>
      <c r="N9" s="9">
        <f>SUMIFS(收入流水表!J:J,收入流水表!I:I,$N$3,收入流水表!A:A,A9)</f>
        <v>7038</v>
      </c>
      <c r="O9" s="9">
        <f>SUMIFS(收入流水表!J:J,收入流水表!I:I,$O$3,收入流水表!A:A,A9)</f>
        <v>0</v>
      </c>
      <c r="P9" s="9">
        <f>SUMIFS(收入流水表!J:J,收入流水表!I:I,$P$3,收入流水表!A:A,A9)</f>
        <v>0</v>
      </c>
      <c r="Q9" s="9">
        <f>SUMIFS(收入流水表!J:J,收入流水表!I:I,$Q$3,收入流水表!A:A,A9)</f>
        <v>0</v>
      </c>
      <c r="R9" s="9"/>
      <c r="S9" s="9"/>
      <c r="T9" s="9"/>
      <c r="U9" s="9"/>
    </row>
    <row r="10" customFormat="1" customHeight="1" spans="1:21">
      <c r="A10" s="94">
        <v>46210</v>
      </c>
      <c r="B10" s="95">
        <f>SUMIFS(收入流水表!J:J,收入流水表!C:C,$B$3,收入流水表!A:A,A10)</f>
        <v>3652</v>
      </c>
      <c r="C10" s="95">
        <f>SUMIFS(收入流水表!J:J,收入流水表!C:C,$C$3,收入流水表!A:A,A10)</f>
        <v>0</v>
      </c>
      <c r="D10" s="95">
        <f>SUMIFS(收入流水表!J:J,收入流水表!C:C,$D$3,收入流水表!A:A,A10)</f>
        <v>1600</v>
      </c>
      <c r="E10" s="9">
        <f>SUMIFS(收入流水表!J:J,收入流水表!C:C,$E$3,收入流水表!A:A,A10)</f>
        <v>0</v>
      </c>
      <c r="F10" s="9">
        <f t="shared" si="3"/>
        <v>5252</v>
      </c>
      <c r="G10" s="9">
        <f>SUMIFS(收入流水表!J:J,收入流水表!C:C,$G$3,收入流水表!A:A,A10)</f>
        <v>58</v>
      </c>
      <c r="H10" s="9">
        <f>SUMIFS(收入流水表!J:J,收入流水表!C:C,$H$3,收入流水表!A:A,A10)</f>
        <v>45</v>
      </c>
      <c r="I10" s="9">
        <f>SUMIFS(收入流水表!J:J,收入流水表!C:C,$I$3,收入流水表!A:A,A10)</f>
        <v>16.9</v>
      </c>
      <c r="J10" s="9">
        <f>SUMIFS(收入流水表!J:J,收入流水表!C:C,$J$3,收入流水表!A:A,A10)</f>
        <v>249.7</v>
      </c>
      <c r="K10" s="9">
        <f>SUMIFS(收入流水表!J:J,收入流水表!C:C,$K$3,收入流水表!A:A,A10)</f>
        <v>0</v>
      </c>
      <c r="L10" s="9">
        <f t="shared" si="4"/>
        <v>369.6</v>
      </c>
      <c r="M10" s="9">
        <f t="shared" si="5"/>
        <v>5621.6</v>
      </c>
      <c r="N10" s="9">
        <f>SUMIFS(收入流水表!J:J,收入流水表!I:I,$N$3,收入流水表!A:A,A10)</f>
        <v>4452</v>
      </c>
      <c r="O10" s="9">
        <f>SUMIFS(收入流水表!J:J,收入流水表!I:I,$O$3,收入流水表!A:A,A10)</f>
        <v>800</v>
      </c>
      <c r="P10" s="9">
        <f>SUMIFS(收入流水表!J:J,收入流水表!I:I,$P$3,收入流水表!A:A,A10)</f>
        <v>0</v>
      </c>
      <c r="Q10" s="9">
        <f>SUMIFS(收入流水表!J:J,收入流水表!I:I,$Q$3,收入流水表!A:A,A10)</f>
        <v>0</v>
      </c>
      <c r="R10" s="9"/>
      <c r="S10" s="9"/>
      <c r="T10" s="9"/>
      <c r="U10" s="9"/>
    </row>
    <row r="11" customFormat="1" customHeight="1" spans="1:21">
      <c r="A11" s="94">
        <v>46211</v>
      </c>
      <c r="B11" s="95">
        <f>SUMIFS(收入流水表!J:J,收入流水表!C:C,$B$3,收入流水表!A:A,A11)</f>
        <v>7318</v>
      </c>
      <c r="C11" s="95">
        <f>SUMIFS(收入流水表!J:J,收入流水表!C:C,$C$3,收入流水表!A:A,A11)</f>
        <v>0</v>
      </c>
      <c r="D11" s="95">
        <f>SUMIFS(收入流水表!J:J,收入流水表!C:C,$D$3,收入流水表!A:A,A11)</f>
        <v>7500</v>
      </c>
      <c r="E11" s="9">
        <f>SUMIFS(收入流水表!J:J,收入流水表!C:C,$E$3,收入流水表!A:A,A11)</f>
        <v>0</v>
      </c>
      <c r="F11" s="9">
        <f t="shared" si="3"/>
        <v>14818</v>
      </c>
      <c r="G11" s="9">
        <f>SUMIFS(收入流水表!J:J,收入流水表!C:C,$G$3,收入流水表!A:A,A11)</f>
        <v>95</v>
      </c>
      <c r="H11" s="9">
        <f>SUMIFS(收入流水表!J:J,收入流水表!C:C,$H$3,收入流水表!A:A,A11)</f>
        <v>140</v>
      </c>
      <c r="I11" s="9">
        <f>SUMIFS(收入流水表!J:J,收入流水表!C:C,$I$3,收入流水表!A:A,A11)</f>
        <v>0</v>
      </c>
      <c r="J11" s="9">
        <f>SUMIFS(收入流水表!J:J,收入流水表!C:C,$J$3,收入流水表!A:A,A11)</f>
        <v>19.9</v>
      </c>
      <c r="K11" s="9">
        <f>SUMIFS(收入流水表!J:J,收入流水表!C:C,$K$3,收入流水表!A:A,A11)</f>
        <v>0</v>
      </c>
      <c r="L11" s="9">
        <f t="shared" si="4"/>
        <v>254.9</v>
      </c>
      <c r="M11" s="9">
        <f t="shared" si="5"/>
        <v>15072.9</v>
      </c>
      <c r="N11" s="9">
        <f>SUMIFS(收入流水表!J:J,收入流水表!I:I,$N$3,收入流水表!A:A,A11)</f>
        <v>14218</v>
      </c>
      <c r="O11" s="9">
        <f>SUMIFS(收入流水表!J:J,收入流水表!I:I,$O$3,收入流水表!A:A,A11)</f>
        <v>450</v>
      </c>
      <c r="P11" s="9">
        <f>SUMIFS(收入流水表!J:J,收入流水表!I:I,$P$3,收入流水表!A:A,A11)</f>
        <v>0</v>
      </c>
      <c r="Q11" s="9">
        <f>SUMIFS(收入流水表!J:J,收入流水表!I:I,$Q$3,收入流水表!A:A,A11)</f>
        <v>160</v>
      </c>
      <c r="R11" s="9"/>
      <c r="S11" s="9"/>
      <c r="T11" s="9"/>
      <c r="U11" s="9"/>
    </row>
    <row r="12" customFormat="1" customHeight="1" spans="1:21">
      <c r="A12" s="94">
        <v>46212</v>
      </c>
      <c r="B12" s="95">
        <f>SUMIFS(收入流水表!J:J,收入流水表!C:C,$B$3,收入流水表!A:A,A12)</f>
        <v>5853</v>
      </c>
      <c r="C12" s="95">
        <f>SUMIFS(收入流水表!J:J,收入流水表!C:C,$C$3,收入流水表!A:A,A12)</f>
        <v>0</v>
      </c>
      <c r="D12" s="95">
        <f>SUMIFS(收入流水表!J:J,收入流水表!C:C,$D$3,收入流水表!A:A,A12)</f>
        <v>2660</v>
      </c>
      <c r="E12" s="9">
        <f>SUMIFS(收入流水表!J:J,收入流水表!C:C,$E$3,收入流水表!A:A,A12)</f>
        <v>0</v>
      </c>
      <c r="F12" s="9">
        <f t="shared" si="3"/>
        <v>8513</v>
      </c>
      <c r="G12" s="9">
        <f>SUMIFS(收入流水表!J:J,收入流水表!C:C,$G$3,收入流水表!A:A,A12)</f>
        <v>43</v>
      </c>
      <c r="H12" s="9">
        <f>SUMIFS(收入流水表!J:J,收入流水表!C:C,$H$3,收入流水表!A:A,A12)</f>
        <v>105</v>
      </c>
      <c r="I12" s="9">
        <f>SUMIFS(收入流水表!J:J,收入流水表!C:C,$I$3,收入流水表!A:A,A12)</f>
        <v>34.8</v>
      </c>
      <c r="J12" s="9">
        <f>SUMIFS(收入流水表!J:J,收入流水表!C:C,$J$3,收入流水表!A:A,A12)</f>
        <v>39.9</v>
      </c>
      <c r="K12" s="9">
        <f>SUMIFS(收入流水表!J:J,收入流水表!C:C,$K$3,收入流水表!A:A,A12)</f>
        <v>0</v>
      </c>
      <c r="L12" s="9">
        <f t="shared" si="4"/>
        <v>222.7</v>
      </c>
      <c r="M12" s="9">
        <f t="shared" si="5"/>
        <v>8735.7</v>
      </c>
      <c r="N12" s="9">
        <f>SUMIFS(收入流水表!J:J,收入流水表!I:I,$N$3,收入流水表!A:A,A12)</f>
        <v>8363</v>
      </c>
      <c r="O12" s="9">
        <f>SUMIFS(收入流水表!J:J,收入流水表!I:I,$O$3,收入流水表!A:A,A12)</f>
        <v>150</v>
      </c>
      <c r="P12" s="9">
        <f>SUMIFS(收入流水表!J:J,收入流水表!I:I,$P$3,收入流水表!A:A,A12)</f>
        <v>0</v>
      </c>
      <c r="Q12" s="9">
        <f>SUMIFS(收入流水表!J:J,收入流水表!I:I,$Q$3,收入流水表!A:A,A12)</f>
        <v>0</v>
      </c>
      <c r="R12" s="9"/>
      <c r="S12" s="9"/>
      <c r="T12" s="9"/>
      <c r="U12" s="9"/>
    </row>
    <row r="13" customFormat="1" customHeight="1" spans="1:21">
      <c r="A13" s="94">
        <v>46213</v>
      </c>
      <c r="B13" s="95">
        <f>SUMIFS(收入流水表!J:J,收入流水表!C:C,$B$3,收入流水表!A:A,A13)</f>
        <v>2474</v>
      </c>
      <c r="C13" s="95">
        <f>SUMIFS(收入流水表!J:J,收入流水表!C:C,$C$3,收入流水表!A:A,A13)</f>
        <v>0</v>
      </c>
      <c r="D13" s="95">
        <f>SUMIFS(收入流水表!J:J,收入流水表!C:C,$D$3,收入流水表!A:A,A13)</f>
        <v>1030</v>
      </c>
      <c r="E13" s="9">
        <f>SUMIFS(收入流水表!J:J,收入流水表!C:C,$E$3,收入流水表!A:A,A13)</f>
        <v>0</v>
      </c>
      <c r="F13" s="9">
        <f t="shared" si="3"/>
        <v>3504</v>
      </c>
      <c r="G13" s="9">
        <f>SUMIFS(收入流水表!J:J,收入流水表!C:C,$G$3,收入流水表!A:A,A13)</f>
        <v>61</v>
      </c>
      <c r="H13" s="9">
        <f>SUMIFS(收入流水表!J:J,收入流水表!C:C,$H$3,收入流水表!A:A,A13)</f>
        <v>5</v>
      </c>
      <c r="I13" s="9">
        <f>SUMIFS(收入流水表!J:J,收入流水表!C:C,$I$3,收入流水表!A:A,A13)</f>
        <v>19.9</v>
      </c>
      <c r="J13" s="9">
        <f>SUMIFS(收入流水表!J:J,收入流水表!C:C,$J$3,收入流水表!A:A,A13)</f>
        <v>39.9</v>
      </c>
      <c r="K13" s="9">
        <f>SUMIFS(收入流水表!J:J,收入流水表!C:C,$K$3,收入流水表!A:A,A13)</f>
        <v>0</v>
      </c>
      <c r="L13" s="9">
        <f t="shared" si="4"/>
        <v>125.8</v>
      </c>
      <c r="M13" s="9">
        <f t="shared" si="5"/>
        <v>3629.8</v>
      </c>
      <c r="N13" s="9">
        <f>SUMIFS(收入流水表!J:J,收入流水表!I:I,$N$3,收入流水表!A:A,A13)</f>
        <v>3504</v>
      </c>
      <c r="O13" s="9">
        <f>SUMIFS(收入流水表!J:J,收入流水表!I:I,$O$3,收入流水表!A:A,A13)</f>
        <v>0</v>
      </c>
      <c r="P13" s="9">
        <f>SUMIFS(收入流水表!J:J,收入流水表!I:I,$P$3,收入流水表!A:A,A13)</f>
        <v>0</v>
      </c>
      <c r="Q13" s="9">
        <f>SUMIFS(收入流水表!J:J,收入流水表!I:I,$Q$3,收入流水表!A:A,A13)</f>
        <v>0</v>
      </c>
      <c r="R13" s="9"/>
      <c r="S13" s="9"/>
      <c r="T13" s="9"/>
      <c r="U13" s="9"/>
    </row>
    <row r="14" customFormat="1" customHeight="1" spans="1:21">
      <c r="A14" s="94">
        <v>46214</v>
      </c>
      <c r="B14" s="95">
        <f>SUMIFS(收入流水表!J:J,收入流水表!C:C,$B$3,收入流水表!A:A,A14)</f>
        <v>4163</v>
      </c>
      <c r="C14" s="95">
        <f>SUMIFS(收入流水表!J:J,收入流水表!C:C,$C$3,收入流水表!A:A,A14)</f>
        <v>0</v>
      </c>
      <c r="D14" s="95">
        <f>SUMIFS(收入流水表!J:J,收入流水表!C:C,$D$3,收入流水表!A:A,A14)</f>
        <v>3558</v>
      </c>
      <c r="E14" s="9">
        <f>SUMIFS(收入流水表!J:J,收入流水表!C:C,$E$3,收入流水表!A:A,A14)</f>
        <v>0</v>
      </c>
      <c r="F14" s="9">
        <f t="shared" si="3"/>
        <v>7721</v>
      </c>
      <c r="G14" s="9">
        <f>SUMIFS(收入流水表!J:J,收入流水表!C:C,$G$3,收入流水表!A:A,A14)</f>
        <v>63</v>
      </c>
      <c r="H14" s="9">
        <f>SUMIFS(收入流水表!J:J,收入流水表!C:C,$H$3,收入流水表!A:A,A14)</f>
        <v>45</v>
      </c>
      <c r="I14" s="9">
        <f>SUMIFS(收入流水表!J:J,收入流水表!C:C,$I$3,收入流水表!A:A,A14)</f>
        <v>34.8</v>
      </c>
      <c r="J14" s="9">
        <f>SUMIFS(收入流水表!J:J,收入流水表!C:C,$J$3,收入流水表!A:A,A14)</f>
        <v>79.8</v>
      </c>
      <c r="K14" s="9">
        <f>SUMIFS(收入流水表!J:J,收入流水表!C:C,$K$3,收入流水表!A:A,A14)</f>
        <v>0</v>
      </c>
      <c r="L14" s="9">
        <f t="shared" si="4"/>
        <v>222.6</v>
      </c>
      <c r="M14" s="9">
        <f t="shared" si="5"/>
        <v>7943.6</v>
      </c>
      <c r="N14" s="9">
        <f>SUMIFS(收入流水表!J:J,收入流水表!I:I,$N$3,收入流水表!A:A,A14)</f>
        <v>5673</v>
      </c>
      <c r="O14" s="9">
        <f>SUMIFS(收入流水表!J:J,收入流水表!I:I,$O$3,收入流水表!A:A,A14)</f>
        <v>2048</v>
      </c>
      <c r="P14" s="9">
        <f>SUMIFS(收入流水表!J:J,收入流水表!I:I,$P$3,收入流水表!A:A,A14)</f>
        <v>0</v>
      </c>
      <c r="Q14" s="9">
        <f>SUMIFS(收入流水表!J:J,收入流水表!I:I,$Q$3,收入流水表!A:A,A14)</f>
        <v>0</v>
      </c>
      <c r="R14" s="9"/>
      <c r="S14" s="9"/>
      <c r="T14" s="9"/>
      <c r="U14" s="9"/>
    </row>
    <row r="15" customFormat="1" customHeight="1" spans="1:21">
      <c r="A15" s="94">
        <v>46215</v>
      </c>
      <c r="B15" s="95">
        <f>SUMIFS(收入流水表!J:J,收入流水表!C:C,$B$3,收入流水表!A:A,A15)</f>
        <v>1497</v>
      </c>
      <c r="C15" s="95">
        <f>SUMIFS(收入流水表!J:J,收入流水表!C:C,$C$3,收入流水表!A:A,A15)</f>
        <v>0</v>
      </c>
      <c r="D15" s="95">
        <f>SUMIFS(收入流水表!J:J,收入流水表!C:C,$D$3,收入流水表!A:A,A15)</f>
        <v>2720</v>
      </c>
      <c r="E15" s="9">
        <f>SUMIFS(收入流水表!J:J,收入流水表!C:C,$E$3,收入流水表!A:A,A15)</f>
        <v>0</v>
      </c>
      <c r="F15" s="9">
        <f t="shared" si="3"/>
        <v>4217</v>
      </c>
      <c r="G15" s="9">
        <f>SUMIFS(收入流水表!J:J,收入流水表!C:C,$G$3,收入流水表!A:A,A15)</f>
        <v>17</v>
      </c>
      <c r="H15" s="9">
        <f>SUMIFS(收入流水表!J:J,收入流水表!C:C,$H$3,收入流水表!A:A,A15)</f>
        <v>40</v>
      </c>
      <c r="I15" s="9">
        <f>SUMIFS(收入流水表!J:J,收入流水表!C:C,$I$3,收入流水表!A:A,A15)</f>
        <v>19.9</v>
      </c>
      <c r="J15" s="9">
        <f>SUMIFS(收入流水表!J:J,收入流水表!C:C,$J$3,收入流水表!A:A,A15)</f>
        <v>0</v>
      </c>
      <c r="K15" s="9">
        <f>SUMIFS(收入流水表!J:J,收入流水表!C:C,$K$3,收入流水表!A:A,A15)</f>
        <v>0</v>
      </c>
      <c r="L15" s="9">
        <f t="shared" si="4"/>
        <v>76.9</v>
      </c>
      <c r="M15" s="9">
        <f t="shared" ref="M15:M37" si="6">F15+L15</f>
        <v>4293.9</v>
      </c>
      <c r="N15" s="9">
        <f>SUMIFS(收入流水表!J:J,收入流水表!I:I,$N$3,收入流水表!A:A,A15)</f>
        <v>4217</v>
      </c>
      <c r="O15" s="9">
        <f>SUMIFS(收入流水表!J:J,收入流水表!I:I,$O$3,收入流水表!A:A,A15)</f>
        <v>0</v>
      </c>
      <c r="P15" s="9">
        <f>SUMIFS(收入流水表!J:J,收入流水表!I:I,$P$3,收入流水表!A:A,A15)</f>
        <v>0</v>
      </c>
      <c r="Q15" s="9">
        <f>SUMIFS(收入流水表!J:J,收入流水表!I:I,$Q$3,收入流水表!A:A,A15)</f>
        <v>0</v>
      </c>
      <c r="R15" s="9"/>
      <c r="S15" s="9"/>
      <c r="T15" s="9"/>
      <c r="U15" s="9"/>
    </row>
    <row r="16" customFormat="1" customHeight="1" spans="1:21">
      <c r="A16" s="94">
        <v>46216</v>
      </c>
      <c r="B16" s="95">
        <f>SUMIFS(收入流水表!J:J,收入流水表!C:C,$B$3,收入流水表!A:A,A16)</f>
        <v>0</v>
      </c>
      <c r="C16" s="95">
        <f>SUMIFS(收入流水表!J:J,收入流水表!C:C,$C$3,收入流水表!A:A,A16)</f>
        <v>0</v>
      </c>
      <c r="D16" s="95">
        <f>SUMIFS(收入流水表!J:J,收入流水表!C:C,$D$3,收入流水表!A:A,A16)</f>
        <v>0</v>
      </c>
      <c r="E16" s="9">
        <f>SUMIFS(收入流水表!J:J,收入流水表!C:C,$E$3,收入流水表!A:A,A16)</f>
        <v>0</v>
      </c>
      <c r="F16" s="9">
        <f t="shared" si="3"/>
        <v>0</v>
      </c>
      <c r="G16" s="9">
        <f>SUMIFS(收入流水表!J:J,收入流水表!C:C,$G$3,收入流水表!A:A,A16)</f>
        <v>0</v>
      </c>
      <c r="H16" s="9">
        <f>SUMIFS(收入流水表!J:J,收入流水表!C:C,$H$3,收入流水表!A:A,A16)</f>
        <v>0</v>
      </c>
      <c r="I16" s="9">
        <f>SUMIFS(收入流水表!J:J,收入流水表!C:C,$I$3,收入流水表!A:A,A16)</f>
        <v>0</v>
      </c>
      <c r="J16" s="9">
        <f>SUMIFS(收入流水表!J:J,收入流水表!C:C,$J$3,收入流水表!A:A,A16)</f>
        <v>0</v>
      </c>
      <c r="K16" s="9">
        <f>SUMIFS(收入流水表!J:J,收入流水表!C:C,$K$3,收入流水表!A:A,A16)</f>
        <v>0</v>
      </c>
      <c r="L16" s="9">
        <f t="shared" si="4"/>
        <v>0</v>
      </c>
      <c r="M16" s="9">
        <f t="shared" si="6"/>
        <v>0</v>
      </c>
      <c r="N16" s="9">
        <f>SUMIFS(收入流水表!J:J,收入流水表!I:I,$N$3,收入流水表!A:A,A16)</f>
        <v>0</v>
      </c>
      <c r="O16" s="9">
        <f>SUMIFS(收入流水表!J:J,收入流水表!I:I,$O$3,收入流水表!A:A,A16)</f>
        <v>0</v>
      </c>
      <c r="P16" s="9">
        <f>SUMIFS(收入流水表!J:J,收入流水表!I:I,$P$3,收入流水表!A:A,A16)</f>
        <v>0</v>
      </c>
      <c r="Q16" s="9">
        <f>SUMIFS(收入流水表!J:J,收入流水表!I:I,$Q$3,收入流水表!A:A,A16)</f>
        <v>0</v>
      </c>
      <c r="R16" s="9"/>
      <c r="S16" s="9"/>
      <c r="T16" s="9"/>
      <c r="U16" s="9"/>
    </row>
    <row r="17" customFormat="1" customHeight="1" spans="1:21">
      <c r="A17" s="94">
        <v>46217</v>
      </c>
      <c r="B17" s="95">
        <f>SUMIFS(收入流水表!J:J,收入流水表!C:C,$B$3,收入流水表!A:A,A17)</f>
        <v>0</v>
      </c>
      <c r="C17" s="95">
        <f>SUMIFS(收入流水表!J:J,收入流水表!C:C,$C$3,收入流水表!A:A,A17)</f>
        <v>0</v>
      </c>
      <c r="D17" s="95">
        <f>SUMIFS(收入流水表!J:J,收入流水表!C:C,$D$3,收入流水表!A:A,A17)</f>
        <v>0</v>
      </c>
      <c r="E17" s="9">
        <f>SUMIFS(收入流水表!J:J,收入流水表!C:C,$E$3,收入流水表!A:A,A17)</f>
        <v>0</v>
      </c>
      <c r="F17" s="9">
        <f t="shared" si="3"/>
        <v>0</v>
      </c>
      <c r="G17" s="9">
        <f>SUMIFS(收入流水表!J:J,收入流水表!C:C,$G$3,收入流水表!A:A,A17)</f>
        <v>0</v>
      </c>
      <c r="H17" s="9">
        <f>SUMIFS(收入流水表!J:J,收入流水表!C:C,$H$3,收入流水表!A:A,A17)</f>
        <v>0</v>
      </c>
      <c r="I17" s="9">
        <f>SUMIFS(收入流水表!J:J,收入流水表!C:C,$I$3,收入流水表!A:A,A17)</f>
        <v>0</v>
      </c>
      <c r="J17" s="9">
        <f>SUMIFS(收入流水表!J:J,收入流水表!C:C,$J$3,收入流水表!A:A,A17)</f>
        <v>0</v>
      </c>
      <c r="K17" s="9">
        <f>SUMIFS(收入流水表!J:J,收入流水表!C:C,$K$3,收入流水表!A:A,A17)</f>
        <v>0</v>
      </c>
      <c r="L17" s="9">
        <f t="shared" si="4"/>
        <v>0</v>
      </c>
      <c r="M17" s="9">
        <f t="shared" si="6"/>
        <v>0</v>
      </c>
      <c r="N17" s="9">
        <f>SUMIFS(收入流水表!J:J,收入流水表!I:I,$N$3,收入流水表!A:A,A17)</f>
        <v>0</v>
      </c>
      <c r="O17" s="9">
        <f>SUMIFS(收入流水表!J:J,收入流水表!I:I,$O$3,收入流水表!A:A,A17)</f>
        <v>0</v>
      </c>
      <c r="P17" s="9">
        <f>SUMIFS(收入流水表!J:J,收入流水表!I:I,$P$3,收入流水表!A:A,A17)</f>
        <v>0</v>
      </c>
      <c r="Q17" s="9">
        <f>SUMIFS(收入流水表!J:J,收入流水表!I:I,$Q$3,收入流水表!A:A,A17)</f>
        <v>0</v>
      </c>
      <c r="R17" s="9"/>
      <c r="S17" s="9"/>
      <c r="T17" s="9"/>
      <c r="U17" s="9"/>
    </row>
    <row r="18" customFormat="1" customHeight="1" spans="1:21">
      <c r="A18" s="94">
        <v>46218</v>
      </c>
      <c r="B18" s="95">
        <f>SUMIFS(收入流水表!J:J,收入流水表!C:C,$B$3,收入流水表!A:A,A18)</f>
        <v>0</v>
      </c>
      <c r="C18" s="95">
        <f>SUMIFS(收入流水表!J:J,收入流水表!C:C,$C$3,收入流水表!A:A,A18)</f>
        <v>0</v>
      </c>
      <c r="D18" s="95">
        <f>SUMIFS(收入流水表!J:J,收入流水表!C:C,$D$3,收入流水表!A:A,A18)</f>
        <v>0</v>
      </c>
      <c r="E18" s="9">
        <f>SUMIFS(收入流水表!J:J,收入流水表!C:C,$E$3,收入流水表!A:A,A18)</f>
        <v>0</v>
      </c>
      <c r="F18" s="9">
        <f t="shared" si="3"/>
        <v>0</v>
      </c>
      <c r="G18" s="9">
        <f>SUMIFS(收入流水表!J:J,收入流水表!C:C,$G$3,收入流水表!A:A,A18)</f>
        <v>0</v>
      </c>
      <c r="H18" s="9">
        <f>SUMIFS(收入流水表!J:J,收入流水表!C:C,$H$3,收入流水表!A:A,A18)</f>
        <v>0</v>
      </c>
      <c r="I18" s="9">
        <f>SUMIFS(收入流水表!J:J,收入流水表!C:C,$I$3,收入流水表!A:A,A18)</f>
        <v>0</v>
      </c>
      <c r="J18" s="9">
        <f>SUMIFS(收入流水表!J:J,收入流水表!C:C,$J$3,收入流水表!A:A,A18)</f>
        <v>0</v>
      </c>
      <c r="K18" s="9">
        <f>SUMIFS(收入流水表!J:J,收入流水表!C:C,$K$3,收入流水表!A:A,A18)</f>
        <v>0</v>
      </c>
      <c r="L18" s="9">
        <f t="shared" si="4"/>
        <v>0</v>
      </c>
      <c r="M18" s="9">
        <f>F18+L18-K18</f>
        <v>0</v>
      </c>
      <c r="N18" s="9">
        <f>SUMIFS(收入流水表!J:J,收入流水表!I:I,$N$3,收入流水表!A:A,A18)</f>
        <v>0</v>
      </c>
      <c r="O18" s="9">
        <f>SUMIFS(收入流水表!J:J,收入流水表!I:I,$O$3,收入流水表!A:A,A18)</f>
        <v>0</v>
      </c>
      <c r="P18" s="9">
        <f>SUMIFS(收入流水表!J:J,收入流水表!I:I,$P$3,收入流水表!A:A,A18)</f>
        <v>0</v>
      </c>
      <c r="Q18" s="9">
        <f>SUMIFS(收入流水表!J:J,收入流水表!I:I,$Q$3,收入流水表!A:A,A18)</f>
        <v>0</v>
      </c>
      <c r="R18" s="9"/>
      <c r="S18" s="9"/>
      <c r="T18" s="9"/>
      <c r="U18" s="9"/>
    </row>
    <row r="19" customFormat="1" customHeight="1" spans="1:21">
      <c r="A19" s="94">
        <v>46219</v>
      </c>
      <c r="B19" s="95">
        <f>SUMIFS(收入流水表!J:J,收入流水表!C:C,$B$3,收入流水表!A:A,A19)</f>
        <v>0</v>
      </c>
      <c r="C19" s="95">
        <f>SUMIFS(收入流水表!J:J,收入流水表!C:C,$C$3,收入流水表!A:A,A19)</f>
        <v>0</v>
      </c>
      <c r="D19" s="95">
        <f>SUMIFS(收入流水表!J:J,收入流水表!C:C,$D$3,收入流水表!A:A,A19)</f>
        <v>0</v>
      </c>
      <c r="E19" s="9">
        <f>SUMIFS(收入流水表!J:J,收入流水表!C:C,$E$3,收入流水表!A:A,A19)</f>
        <v>0</v>
      </c>
      <c r="F19" s="9">
        <f t="shared" si="3"/>
        <v>0</v>
      </c>
      <c r="G19" s="9">
        <f>SUMIFS(收入流水表!J:J,收入流水表!C:C,$G$3,收入流水表!A:A,A19)</f>
        <v>0</v>
      </c>
      <c r="H19" s="9">
        <f>SUMIFS(收入流水表!J:J,收入流水表!C:C,$H$3,收入流水表!A:A,A19)</f>
        <v>0</v>
      </c>
      <c r="I19" s="9">
        <f>SUMIFS(收入流水表!J:J,收入流水表!C:C,$I$3,收入流水表!A:A,A19)</f>
        <v>0</v>
      </c>
      <c r="J19" s="9">
        <f>SUMIFS(收入流水表!J:J,收入流水表!C:C,$J$3,收入流水表!A:A,A19)</f>
        <v>0</v>
      </c>
      <c r="K19" s="9">
        <f>SUMIFS(收入流水表!J:J,收入流水表!C:C,$K$3,收入流水表!A:A,A19)</f>
        <v>0</v>
      </c>
      <c r="L19" s="9">
        <f t="shared" si="4"/>
        <v>0</v>
      </c>
      <c r="M19" s="9">
        <f t="shared" si="6"/>
        <v>0</v>
      </c>
      <c r="N19" s="9">
        <f>SUMIFS(收入流水表!J:J,收入流水表!I:I,$N$3,收入流水表!A:A,A19)</f>
        <v>0</v>
      </c>
      <c r="O19" s="9">
        <f>SUMIFS(收入流水表!J:J,收入流水表!I:I,$O$3,收入流水表!A:A,A19)</f>
        <v>0</v>
      </c>
      <c r="P19" s="9">
        <f>SUMIFS(收入流水表!J:J,收入流水表!I:I,$P$3,收入流水表!A:A,A19)</f>
        <v>0</v>
      </c>
      <c r="Q19" s="9">
        <f>SUMIFS(收入流水表!J:J,收入流水表!I:I,$Q$3,收入流水表!A:A,A19)</f>
        <v>0</v>
      </c>
      <c r="R19" s="9"/>
      <c r="S19" s="9"/>
      <c r="T19" s="9"/>
      <c r="U19" s="9"/>
    </row>
    <row r="20" customFormat="1" customHeight="1" spans="1:21">
      <c r="A20" s="94">
        <v>46220</v>
      </c>
      <c r="B20" s="95">
        <f>SUMIFS(收入流水表!J:J,收入流水表!C:C,$B$3,收入流水表!A:A,A20)</f>
        <v>0</v>
      </c>
      <c r="C20" s="95">
        <f>SUMIFS(收入流水表!J:J,收入流水表!C:C,$C$3,收入流水表!A:A,A20)</f>
        <v>0</v>
      </c>
      <c r="D20" s="95">
        <f>SUMIFS(收入流水表!J:J,收入流水表!C:C,$D$3,收入流水表!A:A,A20)</f>
        <v>0</v>
      </c>
      <c r="E20" s="9">
        <f>SUMIFS(收入流水表!J:J,收入流水表!C:C,$E$3,收入流水表!A:A,A20)</f>
        <v>0</v>
      </c>
      <c r="F20" s="9">
        <f t="shared" si="3"/>
        <v>0</v>
      </c>
      <c r="G20" s="9">
        <f>SUMIFS(收入流水表!J:J,收入流水表!C:C,$G$3,收入流水表!A:A,A20)</f>
        <v>0</v>
      </c>
      <c r="H20" s="9">
        <f>SUMIFS(收入流水表!J:J,收入流水表!C:C,$H$3,收入流水表!A:A,A20)</f>
        <v>0</v>
      </c>
      <c r="I20" s="9">
        <f>SUMIFS(收入流水表!J:J,收入流水表!C:C,$I$3,收入流水表!A:A,A20)</f>
        <v>0</v>
      </c>
      <c r="J20" s="9">
        <f>SUMIFS(收入流水表!J:J,收入流水表!C:C,$J$3,收入流水表!A:A,A20)</f>
        <v>0</v>
      </c>
      <c r="K20" s="9">
        <f>SUMIFS(收入流水表!J:J,收入流水表!C:C,$K$3,收入流水表!A:A,A20)</f>
        <v>0</v>
      </c>
      <c r="L20" s="9">
        <f t="shared" si="4"/>
        <v>0</v>
      </c>
      <c r="M20" s="9">
        <f t="shared" si="6"/>
        <v>0</v>
      </c>
      <c r="N20" s="9">
        <f>SUMIFS(收入流水表!J:J,收入流水表!I:I,$N$3,收入流水表!A:A,A20)</f>
        <v>0</v>
      </c>
      <c r="O20" s="9">
        <f>SUMIFS(收入流水表!J:J,收入流水表!I:I,$O$3,收入流水表!A:A,A20)</f>
        <v>0</v>
      </c>
      <c r="P20" s="9">
        <f>SUMIFS(收入流水表!J:J,收入流水表!I:I,$P$3,收入流水表!A:A,A20)</f>
        <v>0</v>
      </c>
      <c r="Q20" s="9">
        <f>SUMIFS(收入流水表!J:J,收入流水表!I:I,$Q$3,收入流水表!A:A,A20)</f>
        <v>0</v>
      </c>
      <c r="R20" s="9"/>
      <c r="S20" s="9"/>
      <c r="T20" s="9"/>
      <c r="U20" s="9"/>
    </row>
    <row r="21" customFormat="1" customHeight="1" spans="1:21">
      <c r="A21" s="94">
        <v>46221</v>
      </c>
      <c r="B21" s="95">
        <f>SUMIFS(收入流水表!J:J,收入流水表!C:C,$B$3,收入流水表!A:A,A21)</f>
        <v>0</v>
      </c>
      <c r="C21" s="95">
        <f>SUMIFS(收入流水表!J:J,收入流水表!C:C,$C$3,收入流水表!A:A,A21)</f>
        <v>0</v>
      </c>
      <c r="D21" s="95">
        <f>SUMIFS(收入流水表!J:J,收入流水表!C:C,$D$3,收入流水表!A:A,A21)</f>
        <v>0</v>
      </c>
      <c r="E21" s="9">
        <f>SUMIFS(收入流水表!J:J,收入流水表!C:C,$E$3,收入流水表!A:A,A21)</f>
        <v>0</v>
      </c>
      <c r="F21" s="9">
        <f t="shared" si="3"/>
        <v>0</v>
      </c>
      <c r="G21" s="9">
        <f>SUMIFS(收入流水表!J:J,收入流水表!C:C,$G$3,收入流水表!A:A,A21)</f>
        <v>0</v>
      </c>
      <c r="H21" s="9">
        <f>SUMIFS(收入流水表!J:J,收入流水表!C:C,$H$3,收入流水表!A:A,A21)</f>
        <v>0</v>
      </c>
      <c r="I21" s="9">
        <f>SUMIFS(收入流水表!J:J,收入流水表!C:C,$I$3,收入流水表!A:A,A21)</f>
        <v>0</v>
      </c>
      <c r="J21" s="9">
        <f>SUMIFS(收入流水表!J:J,收入流水表!C:C,$J$3,收入流水表!A:A,A21)</f>
        <v>0</v>
      </c>
      <c r="K21" s="9">
        <f>SUMIFS(收入流水表!J:J,收入流水表!C:C,$K$3,收入流水表!A:A,A21)</f>
        <v>0</v>
      </c>
      <c r="L21" s="9">
        <f t="shared" si="4"/>
        <v>0</v>
      </c>
      <c r="M21" s="9">
        <f t="shared" si="6"/>
        <v>0</v>
      </c>
      <c r="N21" s="9">
        <f>SUMIFS(收入流水表!J:J,收入流水表!I:I,$N$3,收入流水表!A:A,A21)</f>
        <v>0</v>
      </c>
      <c r="O21" s="9">
        <f>SUMIFS(收入流水表!J:J,收入流水表!I:I,$O$3,收入流水表!A:A,A21)</f>
        <v>0</v>
      </c>
      <c r="P21" s="9">
        <f>SUMIFS(收入流水表!J:J,收入流水表!I:I,$P$3,收入流水表!A:A,A21)</f>
        <v>0</v>
      </c>
      <c r="Q21" s="9">
        <f>SUMIFS(收入流水表!J:J,收入流水表!I:I,$Q$3,收入流水表!A:A,A21)</f>
        <v>0</v>
      </c>
      <c r="R21" s="9"/>
      <c r="S21" s="9"/>
      <c r="T21" s="9"/>
      <c r="U21" s="9"/>
    </row>
    <row r="22" customFormat="1" customHeight="1" spans="1:21">
      <c r="A22" s="94">
        <v>46222</v>
      </c>
      <c r="B22" s="95">
        <f>SUMIFS(收入流水表!J:J,收入流水表!C:C,$B$3,收入流水表!A:A,A22)</f>
        <v>0</v>
      </c>
      <c r="C22" s="95">
        <f>SUMIFS(收入流水表!J:J,收入流水表!C:C,$C$3,收入流水表!A:A,A22)</f>
        <v>0</v>
      </c>
      <c r="D22" s="95">
        <f>SUMIFS(收入流水表!J:J,收入流水表!C:C,$D$3,收入流水表!A:A,A22)</f>
        <v>0</v>
      </c>
      <c r="E22" s="9">
        <f>SUMIFS(收入流水表!J:J,收入流水表!C:C,$E$3,收入流水表!A:A,A22)</f>
        <v>0</v>
      </c>
      <c r="F22" s="9">
        <f t="shared" si="3"/>
        <v>0</v>
      </c>
      <c r="G22" s="9">
        <f>SUMIFS(收入流水表!J:J,收入流水表!C:C,$G$3,收入流水表!A:A,A22)</f>
        <v>0</v>
      </c>
      <c r="H22" s="9">
        <f>SUMIFS(收入流水表!J:J,收入流水表!C:C,$H$3,收入流水表!A:A,A22)</f>
        <v>0</v>
      </c>
      <c r="I22" s="9">
        <f>SUMIFS(收入流水表!J:J,收入流水表!C:C,$I$3,收入流水表!A:A,A22)</f>
        <v>0</v>
      </c>
      <c r="J22" s="9">
        <f>SUMIFS(收入流水表!J:J,收入流水表!C:C,$J$3,收入流水表!A:A,A22)</f>
        <v>0</v>
      </c>
      <c r="K22" s="9">
        <f>SUMIFS(收入流水表!J:J,收入流水表!C:C,$K$3,收入流水表!A:A,A22)</f>
        <v>0</v>
      </c>
      <c r="L22" s="9">
        <f t="shared" si="4"/>
        <v>0</v>
      </c>
      <c r="M22" s="9">
        <f t="shared" si="6"/>
        <v>0</v>
      </c>
      <c r="N22" s="9">
        <f>SUMIFS(收入流水表!J:J,收入流水表!I:I,$N$3,收入流水表!A:A,A22)</f>
        <v>0</v>
      </c>
      <c r="O22" s="9">
        <f>SUMIFS(收入流水表!J:J,收入流水表!I:I,$O$3,收入流水表!A:A,A22)</f>
        <v>0</v>
      </c>
      <c r="P22" s="9">
        <f>SUMIFS(收入流水表!J:J,收入流水表!I:I,$P$3,收入流水表!A:A,A22)</f>
        <v>0</v>
      </c>
      <c r="Q22" s="9">
        <f>SUMIFS(收入流水表!J:J,收入流水表!I:I,$Q$3,收入流水表!A:A,A22)</f>
        <v>0</v>
      </c>
      <c r="R22" s="9"/>
      <c r="S22" s="9"/>
      <c r="T22" s="9"/>
      <c r="U22" s="9"/>
    </row>
    <row r="23" customFormat="1" customHeight="1" spans="1:21">
      <c r="A23" s="94">
        <v>46223</v>
      </c>
      <c r="B23" s="95">
        <f>SUMIFS(收入流水表!J:J,收入流水表!C:C,$B$3,收入流水表!A:A,A23)</f>
        <v>0</v>
      </c>
      <c r="C23" s="95">
        <f>SUMIFS(收入流水表!J:J,收入流水表!C:C,$C$3,收入流水表!A:A,A23)</f>
        <v>0</v>
      </c>
      <c r="D23" s="95">
        <f>SUMIFS(收入流水表!J:J,收入流水表!C:C,$D$3,收入流水表!A:A,A23)</f>
        <v>0</v>
      </c>
      <c r="E23" s="9">
        <f>SUMIFS(收入流水表!J:J,收入流水表!C:C,$E$3,收入流水表!A:A,A23)</f>
        <v>0</v>
      </c>
      <c r="F23" s="9">
        <f t="shared" si="3"/>
        <v>0</v>
      </c>
      <c r="G23" s="9">
        <f>SUMIFS(收入流水表!J:J,收入流水表!C:C,$G$3,收入流水表!A:A,A23)</f>
        <v>0</v>
      </c>
      <c r="H23" s="9">
        <f>SUMIFS(收入流水表!J:J,收入流水表!C:C,$H$3,收入流水表!A:A,A23)</f>
        <v>0</v>
      </c>
      <c r="I23" s="9">
        <f>SUMIFS(收入流水表!J:J,收入流水表!C:C,$I$3,收入流水表!A:A,A23)</f>
        <v>0</v>
      </c>
      <c r="J23" s="9">
        <f>SUMIFS(收入流水表!J:J,收入流水表!C:C,$J$3,收入流水表!A:A,A23)</f>
        <v>0</v>
      </c>
      <c r="K23" s="9">
        <f>SUMIFS(收入流水表!J:J,收入流水表!C:C,$K$3,收入流水表!A:A,A23)</f>
        <v>0</v>
      </c>
      <c r="L23" s="9">
        <f t="shared" si="4"/>
        <v>0</v>
      </c>
      <c r="M23" s="9">
        <f t="shared" si="6"/>
        <v>0</v>
      </c>
      <c r="N23" s="9">
        <f>SUMIFS(收入流水表!J:J,收入流水表!I:I,$N$3,收入流水表!A:A,A23)</f>
        <v>0</v>
      </c>
      <c r="O23" s="9">
        <f>SUMIFS(收入流水表!J:J,收入流水表!I:I,$O$3,收入流水表!A:A,A23)</f>
        <v>0</v>
      </c>
      <c r="P23" s="9">
        <f>SUMIFS(收入流水表!J:J,收入流水表!I:I,$P$3,收入流水表!A:A,A23)</f>
        <v>0</v>
      </c>
      <c r="Q23" s="9">
        <f>SUMIFS(收入流水表!J:J,收入流水表!I:I,$Q$3,收入流水表!A:A,A23)</f>
        <v>0</v>
      </c>
      <c r="R23" s="9"/>
      <c r="S23" s="9"/>
      <c r="T23" s="9"/>
      <c r="U23" s="9"/>
    </row>
    <row r="24" customFormat="1" customHeight="1" spans="1:21">
      <c r="A24" s="94">
        <v>46224</v>
      </c>
      <c r="B24" s="95">
        <f>SUMIFS(收入流水表!J:J,收入流水表!C:C,$B$3,收入流水表!A:A,A24)</f>
        <v>0</v>
      </c>
      <c r="C24" s="95">
        <f>SUMIFS(收入流水表!J:J,收入流水表!C:C,$C$3,收入流水表!A:A,A24)</f>
        <v>0</v>
      </c>
      <c r="D24" s="95">
        <f>SUMIFS(收入流水表!J:J,收入流水表!C:C,$D$3,收入流水表!A:A,A24)</f>
        <v>0</v>
      </c>
      <c r="E24" s="9">
        <f>SUMIFS(收入流水表!J:J,收入流水表!C:C,$E$3,收入流水表!A:A,A24)</f>
        <v>0</v>
      </c>
      <c r="F24" s="9">
        <f t="shared" si="3"/>
        <v>0</v>
      </c>
      <c r="G24" s="9">
        <f>SUMIFS(收入流水表!J:J,收入流水表!C:C,$G$3,收入流水表!A:A,A24)</f>
        <v>0</v>
      </c>
      <c r="H24" s="9">
        <f>SUMIFS(收入流水表!J:J,收入流水表!C:C,$H$3,收入流水表!A:A,A24)</f>
        <v>0</v>
      </c>
      <c r="I24" s="9">
        <f>SUMIFS(收入流水表!J:J,收入流水表!C:C,$I$3,收入流水表!A:A,A24)</f>
        <v>0</v>
      </c>
      <c r="J24" s="9">
        <f>SUMIFS(收入流水表!J:J,收入流水表!C:C,$J$3,收入流水表!A:A,A24)</f>
        <v>0</v>
      </c>
      <c r="K24" s="9">
        <f>SUMIFS(收入流水表!J:J,收入流水表!C:C,$K$3,收入流水表!A:A,A24)</f>
        <v>0</v>
      </c>
      <c r="L24" s="9">
        <f t="shared" si="4"/>
        <v>0</v>
      </c>
      <c r="M24" s="9">
        <f t="shared" si="6"/>
        <v>0</v>
      </c>
      <c r="N24" s="9">
        <f>SUMIFS(收入流水表!J:J,收入流水表!I:I,$N$3,收入流水表!A:A,A24)</f>
        <v>0</v>
      </c>
      <c r="O24" s="9">
        <f>SUMIFS(收入流水表!J:J,收入流水表!I:I,$O$3,收入流水表!A:A,A24)</f>
        <v>0</v>
      </c>
      <c r="P24" s="9">
        <f>SUMIFS(收入流水表!J:J,收入流水表!I:I,$P$3,收入流水表!A:A,A24)</f>
        <v>0</v>
      </c>
      <c r="Q24" s="9">
        <f>SUMIFS(收入流水表!J:J,收入流水表!I:I,$Q$3,收入流水表!A:A,A24)</f>
        <v>0</v>
      </c>
      <c r="R24" s="9"/>
      <c r="S24" s="9"/>
      <c r="T24" s="9"/>
      <c r="U24" s="9"/>
    </row>
    <row r="25" customFormat="1" customHeight="1" spans="1:21">
      <c r="A25" s="94">
        <v>46225</v>
      </c>
      <c r="B25" s="95">
        <f>SUMIFS(收入流水表!J:J,收入流水表!C:C,$B$3,收入流水表!A:A,A25)</f>
        <v>0</v>
      </c>
      <c r="C25" s="95">
        <f>SUMIFS(收入流水表!J:J,收入流水表!C:C,$C$3,收入流水表!A:A,A25)</f>
        <v>0</v>
      </c>
      <c r="D25" s="95">
        <f>SUMIFS(收入流水表!J:J,收入流水表!C:C,$D$3,收入流水表!A:A,A25)</f>
        <v>0</v>
      </c>
      <c r="E25" s="9">
        <f>SUMIFS(收入流水表!J:J,收入流水表!C:C,$E$3,收入流水表!A:A,A25)</f>
        <v>0</v>
      </c>
      <c r="F25" s="9">
        <f t="shared" si="3"/>
        <v>0</v>
      </c>
      <c r="G25" s="9">
        <f>SUMIFS(收入流水表!J:J,收入流水表!C:C,$G$3,收入流水表!A:A,A25)</f>
        <v>0</v>
      </c>
      <c r="H25" s="9">
        <f>SUMIFS(收入流水表!J:J,收入流水表!C:C,$H$3,收入流水表!A:A,A25)</f>
        <v>0</v>
      </c>
      <c r="I25" s="9">
        <f>SUMIFS(收入流水表!J:J,收入流水表!C:C,$I$3,收入流水表!A:A,A25)</f>
        <v>0</v>
      </c>
      <c r="J25" s="9">
        <f>SUMIFS(收入流水表!J:J,收入流水表!C:C,$J$3,收入流水表!A:A,A25)</f>
        <v>0</v>
      </c>
      <c r="K25" s="9">
        <f>SUMIFS(收入流水表!J:J,收入流水表!C:C,$K$3,收入流水表!A:A,A25)</f>
        <v>0</v>
      </c>
      <c r="L25" s="9">
        <f t="shared" si="4"/>
        <v>0</v>
      </c>
      <c r="M25" s="9">
        <f t="shared" si="6"/>
        <v>0</v>
      </c>
      <c r="N25" s="9">
        <f>SUMIFS(收入流水表!J:J,收入流水表!I:I,$N$3,收入流水表!A:A,A25)</f>
        <v>0</v>
      </c>
      <c r="O25" s="9">
        <f>SUMIFS(收入流水表!J:J,收入流水表!I:I,$O$3,收入流水表!A:A,A25)</f>
        <v>0</v>
      </c>
      <c r="P25" s="9">
        <f>SUMIFS(收入流水表!J:J,收入流水表!I:I,$P$3,收入流水表!A:A,A25)</f>
        <v>0</v>
      </c>
      <c r="Q25" s="9">
        <f>SUMIFS(收入流水表!J:J,收入流水表!I:I,$Q$3,收入流水表!A:A,A25)</f>
        <v>0</v>
      </c>
      <c r="R25" s="9"/>
      <c r="S25" s="9"/>
      <c r="T25" s="9"/>
      <c r="U25" s="9"/>
    </row>
    <row r="26" customFormat="1" customHeight="1" spans="1:21">
      <c r="A26" s="94">
        <v>46226</v>
      </c>
      <c r="B26" s="95">
        <f>SUMIFS(收入流水表!J:J,收入流水表!C:C,$B$3,收入流水表!A:A,A26)</f>
        <v>0</v>
      </c>
      <c r="C26" s="95">
        <f>SUMIFS(收入流水表!J:J,收入流水表!C:C,$C$3,收入流水表!A:A,A26)</f>
        <v>0</v>
      </c>
      <c r="D26" s="95">
        <f>SUMIFS(收入流水表!J:J,收入流水表!C:C,$D$3,收入流水表!A:A,A26)</f>
        <v>0</v>
      </c>
      <c r="E26" s="9">
        <f>SUMIFS(收入流水表!J:J,收入流水表!C:C,$E$3,收入流水表!A:A,A26)</f>
        <v>0</v>
      </c>
      <c r="F26" s="9">
        <f t="shared" si="3"/>
        <v>0</v>
      </c>
      <c r="G26" s="9">
        <f>SUMIFS(收入流水表!J:J,收入流水表!C:C,$G$3,收入流水表!A:A,A26)</f>
        <v>0</v>
      </c>
      <c r="H26" s="9">
        <f>SUMIFS(收入流水表!J:J,收入流水表!C:C,$H$3,收入流水表!A:A,A26)</f>
        <v>0</v>
      </c>
      <c r="I26" s="9">
        <f>SUMIFS(收入流水表!J:J,收入流水表!C:C,$I$3,收入流水表!A:A,A26)</f>
        <v>0</v>
      </c>
      <c r="J26" s="9">
        <f>SUMIFS(收入流水表!J:J,收入流水表!C:C,$J$3,收入流水表!A:A,A26)</f>
        <v>0</v>
      </c>
      <c r="K26" s="9">
        <f>SUMIFS(收入流水表!J:J,收入流水表!C:C,$K$3,收入流水表!A:A,A26)</f>
        <v>0</v>
      </c>
      <c r="L26" s="9">
        <f t="shared" si="4"/>
        <v>0</v>
      </c>
      <c r="M26" s="9">
        <f t="shared" si="6"/>
        <v>0</v>
      </c>
      <c r="N26" s="9">
        <f>SUMIFS(收入流水表!J:J,收入流水表!I:I,$N$3,收入流水表!A:A,A26)</f>
        <v>0</v>
      </c>
      <c r="O26" s="9">
        <f>SUMIFS(收入流水表!J:J,收入流水表!I:I,$O$3,收入流水表!A:A,A26)</f>
        <v>0</v>
      </c>
      <c r="P26" s="9">
        <f>SUMIFS(收入流水表!J:J,收入流水表!I:I,$P$3,收入流水表!A:A,A26)</f>
        <v>0</v>
      </c>
      <c r="Q26" s="9">
        <f>SUMIFS(收入流水表!J:J,收入流水表!I:I,$Q$3,收入流水表!A:A,A26)</f>
        <v>0</v>
      </c>
      <c r="R26" s="9"/>
      <c r="S26" s="9"/>
      <c r="T26" s="9"/>
      <c r="U26" s="9"/>
    </row>
    <row r="27" customFormat="1" customHeight="1" spans="1:21">
      <c r="A27" s="94">
        <v>46227</v>
      </c>
      <c r="B27" s="95">
        <f>SUMIFS(收入流水表!J:J,收入流水表!C:C,$B$3,收入流水表!A:A,A27)</f>
        <v>0</v>
      </c>
      <c r="C27" s="95">
        <f>SUMIFS(收入流水表!J:J,收入流水表!C:C,$C$3,收入流水表!A:A,A27)</f>
        <v>0</v>
      </c>
      <c r="D27" s="95">
        <f>SUMIFS(收入流水表!J:J,收入流水表!C:C,$D$3,收入流水表!A:A,A27)</f>
        <v>0</v>
      </c>
      <c r="E27" s="9">
        <f>SUMIFS(收入流水表!J:J,收入流水表!C:C,$E$3,收入流水表!A:A,A27)</f>
        <v>0</v>
      </c>
      <c r="F27" s="9">
        <f t="shared" ref="F27:F34" si="7">SUM(B27:E27)</f>
        <v>0</v>
      </c>
      <c r="G27" s="9">
        <f>SUMIFS(收入流水表!J:J,收入流水表!C:C,$G$3,收入流水表!A:A,A27)</f>
        <v>0</v>
      </c>
      <c r="H27" s="9">
        <f>SUMIFS(收入流水表!J:J,收入流水表!C:C,$H$3,收入流水表!A:A,A27)</f>
        <v>0</v>
      </c>
      <c r="I27" s="9">
        <f>SUMIFS(收入流水表!J:J,收入流水表!C:C,$I$3,收入流水表!A:A,A27)</f>
        <v>0</v>
      </c>
      <c r="J27" s="9">
        <f>SUMIFS(收入流水表!J:J,收入流水表!C:C,$J$3,收入流水表!A:A,A27)</f>
        <v>0</v>
      </c>
      <c r="K27" s="9">
        <f>SUMIFS(收入流水表!J:J,收入流水表!C:C,$K$3,收入流水表!A:A,A27)</f>
        <v>0</v>
      </c>
      <c r="L27" s="9">
        <f t="shared" si="4"/>
        <v>0</v>
      </c>
      <c r="M27" s="9">
        <f t="shared" si="6"/>
        <v>0</v>
      </c>
      <c r="N27" s="9">
        <f>SUMIFS(收入流水表!J:J,收入流水表!I:I,$N$3,收入流水表!A:A,A27)</f>
        <v>0</v>
      </c>
      <c r="O27" s="9">
        <f>SUMIFS(收入流水表!J:J,收入流水表!I:I,$O$3,收入流水表!A:A,A27)</f>
        <v>0</v>
      </c>
      <c r="P27" s="9">
        <f>SUMIFS(收入流水表!J:J,收入流水表!I:I,$P$3,收入流水表!A:A,A27)</f>
        <v>0</v>
      </c>
      <c r="Q27" s="9">
        <f>SUMIFS(收入流水表!J:J,收入流水表!I:I,$Q$3,收入流水表!A:A,A27)</f>
        <v>0</v>
      </c>
      <c r="R27" s="9"/>
      <c r="S27" s="9"/>
      <c r="T27" s="9"/>
      <c r="U27" s="9"/>
    </row>
    <row r="28" customFormat="1" customHeight="1" spans="1:21">
      <c r="A28" s="94">
        <v>46228</v>
      </c>
      <c r="B28" s="95">
        <f>SUMIFS(收入流水表!J:J,收入流水表!C:C,$B$3,收入流水表!A:A,A28)</f>
        <v>0</v>
      </c>
      <c r="C28" s="95">
        <f>SUMIFS(收入流水表!J:J,收入流水表!C:C,$C$3,收入流水表!A:A,A28)</f>
        <v>0</v>
      </c>
      <c r="D28" s="95">
        <f>SUMIFS(收入流水表!J:J,收入流水表!C:C,$D$3,收入流水表!A:A,A28)</f>
        <v>0</v>
      </c>
      <c r="E28" s="9">
        <f>SUMIFS(收入流水表!J:J,收入流水表!C:C,$E$3,收入流水表!A:A,A28)</f>
        <v>0</v>
      </c>
      <c r="F28" s="9">
        <f t="shared" si="7"/>
        <v>0</v>
      </c>
      <c r="G28" s="9">
        <f>SUMIFS(收入流水表!J:J,收入流水表!C:C,$G$3,收入流水表!A:A,A28)</f>
        <v>0</v>
      </c>
      <c r="H28" s="9">
        <f>SUMIFS(收入流水表!J:J,收入流水表!C:C,$H$3,收入流水表!A:A,A28)</f>
        <v>0</v>
      </c>
      <c r="I28" s="9">
        <f>SUMIFS(收入流水表!J:J,收入流水表!C:C,$I$3,收入流水表!A:A,A28)</f>
        <v>0</v>
      </c>
      <c r="J28" s="9">
        <f>SUMIFS(收入流水表!J:J,收入流水表!C:C,$J$3,收入流水表!A:A,A28)</f>
        <v>0</v>
      </c>
      <c r="K28" s="9">
        <f>SUMIFS(收入流水表!J:J,收入流水表!C:C,$K$3,收入流水表!A:A,A28)</f>
        <v>0</v>
      </c>
      <c r="L28" s="9">
        <f t="shared" si="4"/>
        <v>0</v>
      </c>
      <c r="M28" s="9">
        <f t="shared" si="6"/>
        <v>0</v>
      </c>
      <c r="N28" s="9">
        <f>SUMIFS(收入流水表!J:J,收入流水表!I:I,$N$3,收入流水表!A:A,A28)</f>
        <v>0</v>
      </c>
      <c r="O28" s="9">
        <f>SUMIFS(收入流水表!J:J,收入流水表!I:I,$O$3,收入流水表!A:A,A28)</f>
        <v>0</v>
      </c>
      <c r="P28" s="9">
        <f>SUMIFS(收入流水表!J:J,收入流水表!I:I,$P$3,收入流水表!A:A,A28)</f>
        <v>0</v>
      </c>
      <c r="Q28" s="9">
        <f>SUMIFS(收入流水表!J:J,收入流水表!I:I,$Q$3,收入流水表!A:A,A28)</f>
        <v>0</v>
      </c>
      <c r="R28" s="9"/>
      <c r="S28" s="9"/>
      <c r="T28" s="9"/>
      <c r="U28" s="9"/>
    </row>
    <row r="29" customFormat="1" customHeight="1" spans="1:21">
      <c r="A29" s="94">
        <v>46229</v>
      </c>
      <c r="B29" s="95">
        <f>SUMIFS(收入流水表!J:J,收入流水表!C:C,$B$3,收入流水表!A:A,A29)</f>
        <v>0</v>
      </c>
      <c r="C29" s="95">
        <f>SUMIFS(收入流水表!J:J,收入流水表!C:C,$C$3,收入流水表!A:A,A29)</f>
        <v>0</v>
      </c>
      <c r="D29" s="95">
        <f>SUMIFS(收入流水表!J:J,收入流水表!C:C,$D$3,收入流水表!A:A,A29)</f>
        <v>0</v>
      </c>
      <c r="E29" s="9">
        <f>SUMIFS(收入流水表!J:J,收入流水表!C:C,$E$3,收入流水表!A:A,A29)</f>
        <v>0</v>
      </c>
      <c r="F29" s="9">
        <f t="shared" si="7"/>
        <v>0</v>
      </c>
      <c r="G29" s="9">
        <f>SUMIFS(收入流水表!J:J,收入流水表!C:C,$G$3,收入流水表!A:A,A29)</f>
        <v>0</v>
      </c>
      <c r="H29" s="9">
        <f>SUMIFS(收入流水表!J:J,收入流水表!C:C,$H$3,收入流水表!A:A,A29)</f>
        <v>0</v>
      </c>
      <c r="I29" s="9">
        <f>SUMIFS(收入流水表!J:J,收入流水表!C:C,$I$3,收入流水表!A:A,A29)</f>
        <v>0</v>
      </c>
      <c r="J29" s="9">
        <f>SUMIFS(收入流水表!J:J,收入流水表!C:C,$J$3,收入流水表!A:A,A29)</f>
        <v>0</v>
      </c>
      <c r="K29" s="9">
        <f>SUMIFS(收入流水表!J:J,收入流水表!C:C,$K$3,收入流水表!A:A,A29)</f>
        <v>0</v>
      </c>
      <c r="L29" s="9">
        <f t="shared" si="4"/>
        <v>0</v>
      </c>
      <c r="M29" s="9">
        <f t="shared" si="6"/>
        <v>0</v>
      </c>
      <c r="N29" s="9">
        <f>SUMIFS(收入流水表!J:J,收入流水表!I:I,$N$3,收入流水表!A:A,A29)</f>
        <v>0</v>
      </c>
      <c r="O29" s="9">
        <f>SUMIFS(收入流水表!J:J,收入流水表!I:I,$O$3,收入流水表!A:A,A29)</f>
        <v>0</v>
      </c>
      <c r="P29" s="9">
        <f>SUMIFS(收入流水表!J:J,收入流水表!I:I,$P$3,收入流水表!A:A,A29)</f>
        <v>0</v>
      </c>
      <c r="Q29" s="9">
        <f>SUMIFS(收入流水表!J:J,收入流水表!I:I,$Q$3,收入流水表!A:A,A29)</f>
        <v>0</v>
      </c>
      <c r="R29" s="9"/>
      <c r="S29" s="9"/>
      <c r="T29" s="9"/>
      <c r="U29" s="9"/>
    </row>
    <row r="30" customFormat="1" customHeight="1" spans="1:21">
      <c r="A30" s="94">
        <v>46230</v>
      </c>
      <c r="B30" s="95">
        <f>SUMIFS(收入流水表!J:J,收入流水表!C:C,$B$3,收入流水表!A:A,A30)</f>
        <v>0</v>
      </c>
      <c r="C30" s="95">
        <f>SUMIFS(收入流水表!J:J,收入流水表!C:C,$C$3,收入流水表!A:A,A30)</f>
        <v>0</v>
      </c>
      <c r="D30" s="95">
        <f>SUMIFS(收入流水表!J:J,收入流水表!C:C,$D$3,收入流水表!A:A,A30)</f>
        <v>0</v>
      </c>
      <c r="E30" s="9">
        <f>SUMIFS(收入流水表!J:J,收入流水表!C:C,$E$3,收入流水表!A:A,A30)</f>
        <v>0</v>
      </c>
      <c r="F30" s="9">
        <f t="shared" si="7"/>
        <v>0</v>
      </c>
      <c r="G30" s="9">
        <f>SUMIFS(收入流水表!J:J,收入流水表!C:C,$G$3,收入流水表!A:A,A30)</f>
        <v>0</v>
      </c>
      <c r="H30" s="9">
        <f>SUMIFS(收入流水表!J:J,收入流水表!C:C,$H$3,收入流水表!A:A,A30)</f>
        <v>0</v>
      </c>
      <c r="I30" s="9">
        <f>SUMIFS(收入流水表!J:J,收入流水表!C:C,$I$3,收入流水表!A:A,A30)</f>
        <v>0</v>
      </c>
      <c r="J30" s="9">
        <f>SUMIFS(收入流水表!J:J,收入流水表!C:C,$J$3,收入流水表!A:A,A30)</f>
        <v>0</v>
      </c>
      <c r="K30" s="9">
        <f>SUMIFS(收入流水表!J:J,收入流水表!C:C,$K$3,收入流水表!A:A,A30)</f>
        <v>0</v>
      </c>
      <c r="L30" s="9">
        <f t="shared" si="4"/>
        <v>0</v>
      </c>
      <c r="M30" s="9">
        <f t="shared" si="6"/>
        <v>0</v>
      </c>
      <c r="N30" s="9">
        <f>SUMIFS(收入流水表!J:J,收入流水表!I:I,$N$3,收入流水表!A:A,A30)</f>
        <v>0</v>
      </c>
      <c r="O30" s="9">
        <f>SUMIFS(收入流水表!J:J,收入流水表!I:I,$O$3,收入流水表!A:A,A30)</f>
        <v>0</v>
      </c>
      <c r="P30" s="9">
        <f>SUMIFS(收入流水表!J:J,收入流水表!I:I,$P$3,收入流水表!A:A,A30)</f>
        <v>0</v>
      </c>
      <c r="Q30" s="9">
        <f>SUMIFS(收入流水表!J:J,收入流水表!I:I,$Q$3,收入流水表!A:A,A30)</f>
        <v>0</v>
      </c>
      <c r="R30" s="9"/>
      <c r="S30" s="9"/>
      <c r="T30" s="9"/>
      <c r="U30" s="9"/>
    </row>
    <row r="31" customFormat="1" customHeight="1" spans="1:21">
      <c r="A31" s="94">
        <v>46231</v>
      </c>
      <c r="B31" s="95">
        <f>SUMIFS(收入流水表!J:J,收入流水表!C:C,$B$3,收入流水表!A:A,A31)</f>
        <v>0</v>
      </c>
      <c r="C31" s="95">
        <f>SUMIFS(收入流水表!J:J,收入流水表!C:C,$C$3,收入流水表!A:A,A31)</f>
        <v>0</v>
      </c>
      <c r="D31" s="95">
        <f>SUMIFS(收入流水表!J:J,收入流水表!C:C,$D$3,收入流水表!A:A,A31)</f>
        <v>0</v>
      </c>
      <c r="E31" s="9">
        <f>SUMIFS(收入流水表!J:J,收入流水表!C:C,$E$3,收入流水表!A:A,A31)</f>
        <v>0</v>
      </c>
      <c r="F31" s="9">
        <f t="shared" si="7"/>
        <v>0</v>
      </c>
      <c r="G31" s="9">
        <f>SUMIFS(收入流水表!J:J,收入流水表!C:C,$G$3,收入流水表!A:A,A31)</f>
        <v>0</v>
      </c>
      <c r="H31" s="9">
        <f>SUMIFS(收入流水表!J:J,收入流水表!C:C,$H$3,收入流水表!A:A,A31)</f>
        <v>0</v>
      </c>
      <c r="I31" s="9">
        <f>SUMIFS(收入流水表!J:J,收入流水表!C:C,$I$3,收入流水表!A:A,A31)</f>
        <v>0</v>
      </c>
      <c r="J31" s="9">
        <f>SUMIFS(收入流水表!J:J,收入流水表!C:C,$J$3,收入流水表!A:A,A31)</f>
        <v>0</v>
      </c>
      <c r="K31" s="9">
        <f>SUMIFS(收入流水表!J:J,收入流水表!C:C,$K$3,收入流水表!A:A,A31)</f>
        <v>0</v>
      </c>
      <c r="L31" s="9">
        <f t="shared" si="4"/>
        <v>0</v>
      </c>
      <c r="M31" s="9">
        <f t="shared" si="6"/>
        <v>0</v>
      </c>
      <c r="N31" s="9">
        <f>SUMIFS(收入流水表!J:J,收入流水表!I:I,$N$3,收入流水表!A:A,A31)</f>
        <v>0</v>
      </c>
      <c r="O31" s="9">
        <f>SUMIFS(收入流水表!J:J,收入流水表!I:I,$O$3,收入流水表!A:A,A31)</f>
        <v>0</v>
      </c>
      <c r="P31" s="9">
        <f>SUMIFS(收入流水表!J:J,收入流水表!I:I,$P$3,收入流水表!A:A,A31)</f>
        <v>0</v>
      </c>
      <c r="Q31" s="9">
        <f>SUMIFS(收入流水表!J:J,收入流水表!I:I,$Q$3,收入流水表!A:A,A31)</f>
        <v>0</v>
      </c>
      <c r="R31" s="9"/>
      <c r="S31" s="9"/>
      <c r="T31" s="9"/>
      <c r="U31" s="9"/>
    </row>
    <row r="32" customFormat="1" customHeight="1" spans="1:21">
      <c r="A32" s="94">
        <v>46232</v>
      </c>
      <c r="B32" s="95">
        <f>SUMIFS(收入流水表!J:J,收入流水表!C:C,$B$3,收入流水表!A:A,A32)</f>
        <v>0</v>
      </c>
      <c r="C32" s="95">
        <f>SUMIFS(收入流水表!J:J,收入流水表!C:C,$C$3,收入流水表!A:A,A32)</f>
        <v>0</v>
      </c>
      <c r="D32" s="95">
        <f>SUMIFS(收入流水表!J:J,收入流水表!C:C,$D$3,收入流水表!A:A,A32)</f>
        <v>0</v>
      </c>
      <c r="E32" s="9">
        <f>SUMIFS(收入流水表!J:J,收入流水表!C:C,$E$3,收入流水表!A:A,A32)</f>
        <v>0</v>
      </c>
      <c r="F32" s="9">
        <f t="shared" si="7"/>
        <v>0</v>
      </c>
      <c r="G32" s="9">
        <f>SUMIFS(收入流水表!J:J,收入流水表!C:C,$G$3,收入流水表!A:A,A32)</f>
        <v>0</v>
      </c>
      <c r="H32" s="9">
        <f>SUMIFS(收入流水表!J:J,收入流水表!C:C,$H$3,收入流水表!A:A,A32)</f>
        <v>0</v>
      </c>
      <c r="I32" s="9">
        <f>SUMIFS(收入流水表!J:J,收入流水表!C:C,$I$3,收入流水表!A:A,A32)</f>
        <v>0</v>
      </c>
      <c r="J32" s="9">
        <f>SUMIFS(收入流水表!J:J,收入流水表!C:C,$J$3,收入流水表!A:A,A32)</f>
        <v>0</v>
      </c>
      <c r="K32" s="9">
        <f>SUMIFS(收入流水表!J:J,收入流水表!C:C,$K$3,收入流水表!A:A,A32)</f>
        <v>0</v>
      </c>
      <c r="L32" s="9">
        <f t="shared" si="4"/>
        <v>0</v>
      </c>
      <c r="M32" s="9">
        <f t="shared" si="6"/>
        <v>0</v>
      </c>
      <c r="N32" s="9">
        <f>SUMIFS(收入流水表!J:J,收入流水表!I:I,$N$3,收入流水表!A:A,A32)</f>
        <v>0</v>
      </c>
      <c r="O32" s="9">
        <f>SUMIFS(收入流水表!J:J,收入流水表!I:I,$O$3,收入流水表!A:A,A32)</f>
        <v>0</v>
      </c>
      <c r="P32" s="9">
        <f>SUMIFS(收入流水表!J:J,收入流水表!I:I,$P$3,收入流水表!A:A,A32)</f>
        <v>0</v>
      </c>
      <c r="Q32" s="9">
        <f>SUMIFS(收入流水表!J:J,收入流水表!I:I,$Q$3,收入流水表!A:A,A32)</f>
        <v>0</v>
      </c>
      <c r="R32" s="9"/>
      <c r="S32" s="9"/>
      <c r="T32" s="9"/>
      <c r="U32" s="9"/>
    </row>
    <row r="33" customFormat="1" customHeight="1" spans="1:21">
      <c r="A33" s="94">
        <v>46233</v>
      </c>
      <c r="B33" s="95">
        <f>SUMIFS(收入流水表!J:J,收入流水表!C:C,$B$3,收入流水表!A:A,A33)</f>
        <v>0</v>
      </c>
      <c r="C33" s="95">
        <f>SUMIFS(收入流水表!J:J,收入流水表!C:C,$C$3,收入流水表!A:A,A33)</f>
        <v>0</v>
      </c>
      <c r="D33" s="95">
        <f>SUMIFS(收入流水表!J:J,收入流水表!C:C,$D$3,收入流水表!A:A,A33)</f>
        <v>0</v>
      </c>
      <c r="E33" s="9">
        <f>SUMIFS(收入流水表!J:J,收入流水表!C:C,$E$3,收入流水表!A:A,A33)</f>
        <v>0</v>
      </c>
      <c r="F33" s="9">
        <f t="shared" si="7"/>
        <v>0</v>
      </c>
      <c r="G33" s="9">
        <f>SUMIFS(收入流水表!J:J,收入流水表!C:C,$G$3,收入流水表!A:A,A33)</f>
        <v>0</v>
      </c>
      <c r="H33" s="9">
        <f>SUMIFS(收入流水表!J:J,收入流水表!C:C,$H$3,收入流水表!A:A,A33)</f>
        <v>0</v>
      </c>
      <c r="I33" s="9">
        <f>SUMIFS(收入流水表!J:J,收入流水表!C:C,$I$3,收入流水表!A:A,A33)</f>
        <v>0</v>
      </c>
      <c r="J33" s="9">
        <f>SUMIFS(收入流水表!J:J,收入流水表!C:C,$J$3,收入流水表!A:A,A33)</f>
        <v>0</v>
      </c>
      <c r="K33" s="9">
        <f>SUMIFS(收入流水表!J:J,收入流水表!C:C,$K$3,收入流水表!A:A,A33)</f>
        <v>0</v>
      </c>
      <c r="L33" s="9">
        <f t="shared" si="4"/>
        <v>0</v>
      </c>
      <c r="M33" s="9">
        <f t="shared" si="6"/>
        <v>0</v>
      </c>
      <c r="N33" s="9">
        <f>SUMIFS(收入流水表!J:J,收入流水表!I:I,$N$3,收入流水表!A:A,A33)</f>
        <v>0</v>
      </c>
      <c r="O33" s="9">
        <f>SUMIFS(收入流水表!J:J,收入流水表!I:I,$O$3,收入流水表!A:A,A33)</f>
        <v>0</v>
      </c>
      <c r="P33" s="9">
        <f>SUMIFS(收入流水表!J:J,收入流水表!I:I,$P$3,收入流水表!A:A,A33)</f>
        <v>0</v>
      </c>
      <c r="Q33" s="9">
        <f>SUMIFS(收入流水表!J:J,收入流水表!I:I,$Q$3,收入流水表!A:A,A33)</f>
        <v>0</v>
      </c>
      <c r="R33" s="9"/>
      <c r="S33" s="9"/>
      <c r="T33" s="9"/>
      <c r="U33" s="9"/>
    </row>
    <row r="34" customFormat="1" customHeight="1" spans="1:21">
      <c r="A34" s="94">
        <v>46234</v>
      </c>
      <c r="B34" s="95">
        <f>SUMIFS(收入流水表!J:J,收入流水表!C:C,$B$3,收入流水表!A:A,A34)</f>
        <v>0</v>
      </c>
      <c r="C34" s="95">
        <f>SUMIFS(收入流水表!J:J,收入流水表!C:C,$C$3,收入流水表!A:A,A34)</f>
        <v>0</v>
      </c>
      <c r="D34" s="95">
        <f>SUMIFS(收入流水表!J:J,收入流水表!C:C,$D$3,收入流水表!A:A,A34)</f>
        <v>0</v>
      </c>
      <c r="E34" s="9">
        <f>SUMIFS(收入流水表!J:J,收入流水表!C:C,$E$3,收入流水表!A:A,A34)</f>
        <v>0</v>
      </c>
      <c r="F34" s="9">
        <f t="shared" si="7"/>
        <v>0</v>
      </c>
      <c r="G34" s="9">
        <f>SUMIFS(收入流水表!J:J,收入流水表!C:C,$G$3,收入流水表!A:A,A34)</f>
        <v>0</v>
      </c>
      <c r="H34" s="9">
        <f>SUMIFS(收入流水表!J:J,收入流水表!C:C,$H$3,收入流水表!A:A,A34)</f>
        <v>0</v>
      </c>
      <c r="I34" s="9">
        <f>SUMIFS(收入流水表!J:J,收入流水表!C:C,$I$3,收入流水表!A:A,A34)</f>
        <v>0</v>
      </c>
      <c r="J34" s="9">
        <f>SUMIFS(收入流水表!J:J,收入流水表!C:C,$J$3,收入流水表!A:A,A34)</f>
        <v>0</v>
      </c>
      <c r="K34" s="9">
        <f>SUMIFS(收入流水表!J:J,收入流水表!C:C,$K$3,收入流水表!A:A,A34)</f>
        <v>0</v>
      </c>
      <c r="L34" s="9">
        <f t="shared" si="4"/>
        <v>0</v>
      </c>
      <c r="M34" s="9">
        <f t="shared" si="6"/>
        <v>0</v>
      </c>
      <c r="N34" s="9">
        <f>SUMIFS(收入流水表!J:J,收入流水表!I:I,$N$3,收入流水表!A:A,A34)</f>
        <v>0</v>
      </c>
      <c r="O34" s="9">
        <f>SUMIFS(收入流水表!J:J,收入流水表!I:I,$O$3,收入流水表!A:A,A34)</f>
        <v>0</v>
      </c>
      <c r="P34" s="9">
        <f>SUMIFS(收入流水表!J:J,收入流水表!I:I,$P$3,收入流水表!A:A,A34)</f>
        <v>0</v>
      </c>
      <c r="Q34" s="9">
        <f>SUMIFS(收入流水表!J:J,收入流水表!I:I,$Q$3,收入流水表!A:A,A34)</f>
        <v>0</v>
      </c>
      <c r="R34" s="9"/>
      <c r="S34" s="9"/>
      <c r="T34" s="9"/>
      <c r="U34" s="9"/>
    </row>
    <row r="35" customFormat="1" customHeight="1" spans="1:21">
      <c r="A35" s="94" t="s">
        <v>61</v>
      </c>
      <c r="B35" s="96">
        <f>SUM(B4:B34)</f>
        <v>33553</v>
      </c>
      <c r="C35" s="96">
        <f t="shared" ref="C35:Q35" si="8">SUM(C4:C34)</f>
        <v>0</v>
      </c>
      <c r="D35" s="96">
        <f t="shared" si="8"/>
        <v>40534</v>
      </c>
      <c r="E35" s="96">
        <f t="shared" si="8"/>
        <v>0</v>
      </c>
      <c r="F35" s="96">
        <f t="shared" si="8"/>
        <v>74087</v>
      </c>
      <c r="G35" s="96">
        <f t="shared" si="8"/>
        <v>718</v>
      </c>
      <c r="H35" s="96">
        <f t="shared" si="8"/>
        <v>505</v>
      </c>
      <c r="I35" s="96">
        <f t="shared" si="8"/>
        <v>429.9</v>
      </c>
      <c r="J35" s="96">
        <f t="shared" si="8"/>
        <v>793.8</v>
      </c>
      <c r="K35" s="96">
        <f t="shared" si="8"/>
        <v>0</v>
      </c>
      <c r="L35" s="96">
        <f t="shared" si="8"/>
        <v>2446.7</v>
      </c>
      <c r="M35" s="97">
        <f t="shared" si="8"/>
        <v>76533.7</v>
      </c>
      <c r="N35" s="96">
        <f t="shared" si="8"/>
        <v>67490</v>
      </c>
      <c r="O35" s="96">
        <f t="shared" si="8"/>
        <v>6447</v>
      </c>
      <c r="P35" s="96">
        <f t="shared" si="8"/>
        <v>0</v>
      </c>
      <c r="Q35" s="96">
        <f t="shared" si="8"/>
        <v>160</v>
      </c>
      <c r="R35" s="96"/>
      <c r="S35" s="96"/>
      <c r="T35" s="96"/>
      <c r="U35" s="96"/>
    </row>
    <row r="37" customHeight="1" spans="1:21">
      <c r="C37" s="98">
        <f>B35+D35</f>
        <v>74087</v>
      </c>
    </row>
  </sheetData>
  <mergeCells count="6">
    <mergeCell ref="A1:U1"/>
    <mergeCell ref="B2:F2"/>
    <mergeCell ref="G2:L2"/>
    <mergeCell ref="N2:Q2"/>
    <mergeCell ref="R2:S2"/>
    <mergeCell ref="U2:U3"/>
  </mergeCells>
  <dataValidations count="1">
    <dataValidation allowBlank="1" showInputMessage="1" showErrorMessage="1" sqref="O3"/>
  </dataValidation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U302"/>
  <sheetViews>
    <sheetView workbookViewId="0">
      <pane ySplit="1" topLeftCell="A2" activePane="bottomLeft" state="frozen"/>
      <selection/>
      <selection pane="bottomLeft" activeCell="C188" sqref="J188 C188"/>
    </sheetView>
  </sheetViews>
  <sheetFormatPr defaultColWidth="9" defaultRowHeight="25" customHeight="1"/>
  <cols>
    <col min="1" max="1" width="10.375" style="64" customWidth="1"/>
    <col min="2" max="2" width="9.375" style="13" customWidth="1"/>
    <col min="3" max="3" width="10.25" style="13" customWidth="1"/>
    <col min="4" max="4" width="20.375" style="13" customWidth="1"/>
    <col min="5" max="5" width="13.375" style="13" customWidth="1"/>
    <col min="6" max="6" width="12.125" style="13" customWidth="1"/>
    <col min="7" max="10" width="8.875" style="13" customWidth="1"/>
    <col min="11" max="11" width="8" style="13" customWidth="1"/>
    <col min="12" max="13" width="9.75" style="13" customWidth="1"/>
    <col min="14" max="14" width="7.625" style="13" customWidth="1"/>
    <col min="15" max="15" width="47" style="13" customWidth="1"/>
    <col min="16" max="16" width="9.875" style="13" customWidth="1"/>
    <col min="17" max="17" width="9.875" style="65" customWidth="1"/>
    <col min="18" max="21" width="10.125" style="13" customWidth="1"/>
    <col min="22" max="16384" width="9" style="66"/>
  </cols>
  <sheetData>
    <row r="1" customFormat="1" ht="43" customHeight="1" spans="1:21">
      <c r="A1" s="67" t="s">
        <v>42</v>
      </c>
      <c r="B1" s="68" t="s">
        <v>62</v>
      </c>
      <c r="C1" s="69" t="s">
        <v>63</v>
      </c>
      <c r="D1" s="69" t="s">
        <v>64</v>
      </c>
      <c r="E1" s="70" t="s">
        <v>65</v>
      </c>
      <c r="F1" s="70" t="s">
        <v>66</v>
      </c>
      <c r="G1" s="69" t="s">
        <v>67</v>
      </c>
      <c r="H1" s="69" t="s">
        <v>68</v>
      </c>
      <c r="I1" s="69" t="s">
        <v>39</v>
      </c>
      <c r="J1" s="69" t="s">
        <v>69</v>
      </c>
      <c r="K1" s="69" t="s">
        <v>70</v>
      </c>
      <c r="L1" s="69" t="s">
        <v>71</v>
      </c>
      <c r="M1" s="69" t="s">
        <v>72</v>
      </c>
      <c r="N1" s="69" t="s">
        <v>60</v>
      </c>
      <c r="O1" s="69" t="s">
        <v>41</v>
      </c>
      <c r="P1" s="69" t="s">
        <v>73</v>
      </c>
      <c r="Q1" s="71" t="s">
        <v>74</v>
      </c>
      <c r="R1" s="69" t="s">
        <v>75</v>
      </c>
      <c r="S1" s="69" t="s">
        <v>76</v>
      </c>
      <c r="T1" s="69" t="s">
        <v>77</v>
      </c>
      <c r="U1" s="69" t="s">
        <v>78</v>
      </c>
    </row>
    <row r="2" hidden="1" customHeight="1" spans="1:21">
      <c r="A2" s="72">
        <v>46204</v>
      </c>
      <c r="B2" s="13">
        <v>3232934</v>
      </c>
      <c r="C2" s="13" t="s">
        <v>43</v>
      </c>
      <c r="D2" s="13" t="s">
        <v>79</v>
      </c>
      <c r="E2" s="13">
        <v>15390898980</v>
      </c>
      <c r="F2" s="13" t="s">
        <v>80</v>
      </c>
      <c r="H2" s="13" t="s">
        <v>81</v>
      </c>
      <c r="I2" s="13" t="s">
        <v>54</v>
      </c>
      <c r="J2" s="13">
        <v>297</v>
      </c>
      <c r="N2" s="13" t="s">
        <v>82</v>
      </c>
      <c r="O2" s="13" t="s">
        <v>83</v>
      </c>
      <c r="P2" s="13">
        <v>9130930</v>
      </c>
      <c r="Q2" s="65" t="s">
        <v>84</v>
      </c>
      <c r="R2" s="13" t="s">
        <v>85</v>
      </c>
      <c r="S2" s="13" t="s">
        <v>85</v>
      </c>
    </row>
    <row r="3" hidden="1" customHeight="1" spans="1:21">
      <c r="A3" s="18">
        <v>46204</v>
      </c>
      <c r="C3" s="13" t="s">
        <v>48</v>
      </c>
      <c r="J3" s="13">
        <v>51</v>
      </c>
      <c r="O3" s="19" t="s">
        <v>86</v>
      </c>
    </row>
    <row r="4" hidden="1" customHeight="1" spans="1:21">
      <c r="A4" s="18">
        <v>46204</v>
      </c>
      <c r="C4" s="13" t="s">
        <v>50</v>
      </c>
      <c r="J4" s="13">
        <v>49.7</v>
      </c>
      <c r="O4" s="13" t="s">
        <v>87</v>
      </c>
    </row>
    <row r="5" hidden="1" customHeight="1" spans="1:21">
      <c r="A5" s="18">
        <v>46204</v>
      </c>
      <c r="C5" s="13" t="s">
        <v>51</v>
      </c>
      <c r="J5" s="13">
        <v>19.9</v>
      </c>
      <c r="O5" s="13" t="s">
        <v>88</v>
      </c>
    </row>
    <row r="6" s="15" customFormat="1" hidden="1" customHeight="1" spans="1:21">
      <c r="A6" s="72">
        <v>46205</v>
      </c>
      <c r="B6" s="27">
        <v>3232935</v>
      </c>
      <c r="C6" s="13" t="s">
        <v>45</v>
      </c>
      <c r="D6" s="13" t="s">
        <v>89</v>
      </c>
      <c r="E6" s="13">
        <v>13870661059</v>
      </c>
      <c r="F6" s="13" t="s">
        <v>90</v>
      </c>
      <c r="G6" s="13"/>
      <c r="H6" s="13" t="s">
        <v>81</v>
      </c>
      <c r="I6" s="13" t="s">
        <v>54</v>
      </c>
      <c r="J6" s="13">
        <v>880</v>
      </c>
      <c r="K6" s="13"/>
      <c r="L6" s="13"/>
      <c r="M6" s="13"/>
      <c r="N6" s="13" t="s">
        <v>91</v>
      </c>
      <c r="O6" s="19" t="s">
        <v>92</v>
      </c>
      <c r="P6" s="13">
        <v>9310732</v>
      </c>
      <c r="Q6" s="65" t="s">
        <v>84</v>
      </c>
      <c r="R6" s="13" t="s">
        <v>85</v>
      </c>
      <c r="S6" s="13" t="s">
        <v>85</v>
      </c>
      <c r="T6" s="13"/>
      <c r="U6" s="13"/>
    </row>
    <row r="7" hidden="1" customHeight="1" spans="1:21">
      <c r="A7" s="18">
        <v>46205</v>
      </c>
      <c r="B7" s="27">
        <v>3232936</v>
      </c>
      <c r="C7" s="13" t="s">
        <v>43</v>
      </c>
      <c r="D7" s="13" t="s">
        <v>93</v>
      </c>
      <c r="E7" s="13">
        <v>15070042767</v>
      </c>
      <c r="F7" s="13" t="s">
        <v>80</v>
      </c>
      <c r="H7" s="13" t="s">
        <v>81</v>
      </c>
      <c r="I7" s="13" t="s">
        <v>54</v>
      </c>
      <c r="J7" s="13">
        <v>281</v>
      </c>
      <c r="N7" s="13" t="s">
        <v>91</v>
      </c>
      <c r="O7" s="13" t="s">
        <v>80</v>
      </c>
      <c r="P7" s="13">
        <v>9131471</v>
      </c>
      <c r="Q7" s="65" t="s">
        <v>84</v>
      </c>
      <c r="R7" s="13" t="s">
        <v>85</v>
      </c>
      <c r="S7" s="13" t="s">
        <v>85</v>
      </c>
    </row>
    <row r="8" hidden="1" customHeight="1" spans="1:21">
      <c r="A8" s="18">
        <v>46205</v>
      </c>
      <c r="B8" s="27">
        <v>3232937</v>
      </c>
      <c r="C8" s="13" t="s">
        <v>43</v>
      </c>
      <c r="D8" s="13" t="s">
        <v>94</v>
      </c>
      <c r="E8" s="13">
        <v>18070090478</v>
      </c>
      <c r="F8" s="13" t="s">
        <v>80</v>
      </c>
      <c r="H8" s="13" t="s">
        <v>81</v>
      </c>
      <c r="I8" s="13" t="s">
        <v>54</v>
      </c>
      <c r="J8" s="13">
        <v>293</v>
      </c>
      <c r="N8" s="13" t="s">
        <v>91</v>
      </c>
      <c r="O8" s="13" t="s">
        <v>80</v>
      </c>
      <c r="P8" s="13">
        <v>9131472</v>
      </c>
      <c r="Q8" s="65" t="s">
        <v>84</v>
      </c>
      <c r="R8" s="13" t="s">
        <v>85</v>
      </c>
      <c r="S8" s="13" t="s">
        <v>85</v>
      </c>
    </row>
    <row r="9" hidden="1" customHeight="1" spans="1:21">
      <c r="A9" s="18">
        <v>46205</v>
      </c>
      <c r="C9" s="13" t="s">
        <v>48</v>
      </c>
      <c r="J9" s="13">
        <v>61</v>
      </c>
      <c r="O9" s="13" t="s">
        <v>95</v>
      </c>
    </row>
    <row r="10" hidden="1" customHeight="1" spans="1:21">
      <c r="A10" s="18">
        <v>46205</v>
      </c>
      <c r="C10" s="13" t="s">
        <v>50</v>
      </c>
      <c r="J10" s="13">
        <v>19.9</v>
      </c>
      <c r="O10" s="13" t="s">
        <v>88</v>
      </c>
    </row>
    <row r="11" hidden="1" customHeight="1" spans="1:21">
      <c r="A11" s="18">
        <v>46205</v>
      </c>
      <c r="C11" s="13" t="s">
        <v>51</v>
      </c>
      <c r="J11" s="13">
        <v>19.9</v>
      </c>
      <c r="O11" s="13" t="s">
        <v>88</v>
      </c>
    </row>
    <row r="12" hidden="1" customHeight="1" spans="1:21">
      <c r="A12" s="72">
        <v>46206</v>
      </c>
      <c r="B12" s="13">
        <v>2855837</v>
      </c>
      <c r="C12" s="13" t="s">
        <v>43</v>
      </c>
      <c r="D12" s="13" t="s">
        <v>96</v>
      </c>
      <c r="E12" s="13">
        <v>13257313595</v>
      </c>
      <c r="F12" s="13" t="s">
        <v>80</v>
      </c>
      <c r="H12" s="13" t="s">
        <v>81</v>
      </c>
      <c r="I12" s="13" t="s">
        <v>55</v>
      </c>
      <c r="J12" s="13">
        <v>299</v>
      </c>
      <c r="N12" s="13" t="s">
        <v>82</v>
      </c>
      <c r="O12" s="13" t="s">
        <v>80</v>
      </c>
      <c r="P12" s="13">
        <v>9131473</v>
      </c>
      <c r="Q12" s="65" t="s">
        <v>84</v>
      </c>
      <c r="R12" s="13" t="s">
        <v>85</v>
      </c>
      <c r="S12" s="13" t="s">
        <v>85</v>
      </c>
    </row>
    <row r="13" hidden="1" customHeight="1" spans="1:21">
      <c r="A13" s="18">
        <v>46206</v>
      </c>
      <c r="B13" s="13">
        <v>2855838</v>
      </c>
      <c r="C13" s="13" t="s">
        <v>43</v>
      </c>
      <c r="D13" s="13" t="s">
        <v>97</v>
      </c>
      <c r="E13" s="13">
        <v>13044918527</v>
      </c>
      <c r="F13" s="13" t="s">
        <v>80</v>
      </c>
      <c r="H13" s="13" t="s">
        <v>81</v>
      </c>
      <c r="I13" s="13" t="s">
        <v>54</v>
      </c>
      <c r="J13" s="13">
        <v>499</v>
      </c>
      <c r="N13" s="13" t="s">
        <v>91</v>
      </c>
      <c r="O13" s="13" t="s">
        <v>98</v>
      </c>
      <c r="P13" s="13">
        <v>9131474</v>
      </c>
      <c r="Q13" s="65" t="s">
        <v>84</v>
      </c>
      <c r="R13" s="13" t="s">
        <v>85</v>
      </c>
      <c r="S13" s="13" t="s">
        <v>85</v>
      </c>
    </row>
    <row r="14" hidden="1" customHeight="1" spans="1:21">
      <c r="A14" s="18">
        <v>46206</v>
      </c>
      <c r="B14" s="13">
        <v>2855839</v>
      </c>
      <c r="C14" s="13" t="s">
        <v>45</v>
      </c>
      <c r="D14" s="13" t="s">
        <v>99</v>
      </c>
      <c r="E14" s="13">
        <v>18279285021</v>
      </c>
      <c r="F14" s="13" t="s">
        <v>100</v>
      </c>
      <c r="H14" s="13" t="s">
        <v>81</v>
      </c>
      <c r="I14" s="13" t="s">
        <v>54</v>
      </c>
      <c r="J14" s="13">
        <v>980</v>
      </c>
      <c r="N14" s="13" t="s">
        <v>101</v>
      </c>
      <c r="O14" s="13" t="s">
        <v>102</v>
      </c>
      <c r="P14" s="13">
        <v>9310736</v>
      </c>
      <c r="Q14" s="65" t="s">
        <v>84</v>
      </c>
      <c r="R14" s="13" t="s">
        <v>85</v>
      </c>
      <c r="S14" s="13" t="s">
        <v>85</v>
      </c>
    </row>
    <row r="15" hidden="1" customHeight="1" spans="1:21">
      <c r="A15" s="18">
        <v>46206</v>
      </c>
      <c r="B15" s="13">
        <v>2855840</v>
      </c>
      <c r="C15" s="13" t="s">
        <v>45</v>
      </c>
      <c r="D15" s="13" t="s">
        <v>103</v>
      </c>
      <c r="E15" s="13">
        <v>18970032303</v>
      </c>
      <c r="F15" s="13" t="s">
        <v>100</v>
      </c>
      <c r="H15" s="13" t="s">
        <v>81</v>
      </c>
      <c r="I15" s="13" t="s">
        <v>54</v>
      </c>
      <c r="J15" s="13">
        <v>2700</v>
      </c>
      <c r="N15" s="13" t="s">
        <v>91</v>
      </c>
      <c r="O15" s="13" t="s">
        <v>104</v>
      </c>
      <c r="P15" s="13">
        <v>9310738</v>
      </c>
      <c r="Q15" s="65" t="s">
        <v>84</v>
      </c>
      <c r="R15" s="13" t="s">
        <v>85</v>
      </c>
      <c r="S15" s="13" t="s">
        <v>85</v>
      </c>
    </row>
    <row r="16" hidden="1" customHeight="1" spans="1:21">
      <c r="A16" s="18">
        <v>46206</v>
      </c>
      <c r="B16" s="13">
        <v>3232938</v>
      </c>
      <c r="C16" s="13" t="s">
        <v>43</v>
      </c>
      <c r="D16" s="13" t="s">
        <v>105</v>
      </c>
      <c r="E16" s="13">
        <v>17746666110</v>
      </c>
      <c r="F16" s="13" t="s">
        <v>80</v>
      </c>
      <c r="H16" s="13" t="s">
        <v>81</v>
      </c>
      <c r="I16" s="13" t="s">
        <v>54</v>
      </c>
      <c r="J16" s="13">
        <v>500</v>
      </c>
      <c r="N16" s="13" t="s">
        <v>91</v>
      </c>
      <c r="O16" s="13" t="s">
        <v>98</v>
      </c>
      <c r="P16" s="13">
        <v>9131475</v>
      </c>
      <c r="Q16" s="65" t="s">
        <v>84</v>
      </c>
      <c r="R16" s="13" t="s">
        <v>85</v>
      </c>
      <c r="S16" s="13" t="s">
        <v>85</v>
      </c>
    </row>
    <row r="17" hidden="1" customHeight="1" spans="1:21">
      <c r="A17" s="18">
        <v>46206</v>
      </c>
      <c r="C17" s="13" t="s">
        <v>48</v>
      </c>
      <c r="J17" s="13">
        <v>87</v>
      </c>
      <c r="O17" s="13" t="s">
        <v>106</v>
      </c>
    </row>
    <row r="18" hidden="1" customHeight="1" spans="1:21">
      <c r="A18" s="18">
        <v>46206</v>
      </c>
      <c r="C18" s="13" t="s">
        <v>50</v>
      </c>
      <c r="J18" s="13">
        <v>19.9</v>
      </c>
      <c r="O18" s="13" t="s">
        <v>88</v>
      </c>
    </row>
    <row r="19" hidden="1" customHeight="1" spans="1:21">
      <c r="A19" s="18">
        <v>46206</v>
      </c>
      <c r="C19" s="13" t="s">
        <v>51</v>
      </c>
      <c r="J19" s="13">
        <v>19.9</v>
      </c>
      <c r="O19" s="13" t="s">
        <v>88</v>
      </c>
    </row>
    <row r="20" hidden="1" customHeight="1" spans="1:21">
      <c r="A20" s="72">
        <v>46207</v>
      </c>
      <c r="B20" s="13">
        <v>3232939</v>
      </c>
      <c r="C20" s="13" t="s">
        <v>43</v>
      </c>
      <c r="D20" s="13" t="s">
        <v>107</v>
      </c>
      <c r="E20" s="13">
        <v>15279143159</v>
      </c>
      <c r="F20" s="13" t="s">
        <v>80</v>
      </c>
      <c r="H20" s="13" t="s">
        <v>81</v>
      </c>
      <c r="I20" s="13" t="s">
        <v>54</v>
      </c>
      <c r="J20" s="13">
        <v>220</v>
      </c>
      <c r="N20" s="13" t="s">
        <v>108</v>
      </c>
      <c r="O20" s="13" t="s">
        <v>80</v>
      </c>
      <c r="P20" s="13">
        <v>9131476</v>
      </c>
      <c r="Q20" s="65" t="s">
        <v>84</v>
      </c>
      <c r="R20" s="13" t="s">
        <v>85</v>
      </c>
      <c r="S20" s="13" t="s">
        <v>85</v>
      </c>
    </row>
    <row r="21" hidden="1" customHeight="1" spans="1:21">
      <c r="A21" s="18">
        <v>46207</v>
      </c>
      <c r="B21" s="13">
        <v>3232940</v>
      </c>
      <c r="C21" s="13" t="s">
        <v>45</v>
      </c>
      <c r="D21" s="13" t="s">
        <v>109</v>
      </c>
      <c r="E21" s="13">
        <v>18970935427</v>
      </c>
      <c r="F21" s="13" t="s">
        <v>90</v>
      </c>
      <c r="H21" s="13" t="s">
        <v>81</v>
      </c>
      <c r="I21" s="13" t="s">
        <v>54</v>
      </c>
      <c r="J21" s="13">
        <v>758</v>
      </c>
      <c r="N21" s="13" t="s">
        <v>91</v>
      </c>
      <c r="O21" s="21" t="s">
        <v>110</v>
      </c>
      <c r="P21" s="13">
        <v>9310737</v>
      </c>
      <c r="Q21" s="65" t="s">
        <v>84</v>
      </c>
      <c r="R21" s="13" t="s">
        <v>85</v>
      </c>
      <c r="S21" s="13" t="s">
        <v>85</v>
      </c>
    </row>
    <row r="22" s="15" customFormat="1" hidden="1" customHeight="1" spans="1:21">
      <c r="A22" s="18">
        <v>46207</v>
      </c>
      <c r="B22" s="13">
        <v>3232141</v>
      </c>
      <c r="C22" s="13" t="s">
        <v>45</v>
      </c>
      <c r="D22" s="13" t="s">
        <v>111</v>
      </c>
      <c r="E22" s="13">
        <v>13907009626</v>
      </c>
      <c r="F22" s="13" t="s">
        <v>90</v>
      </c>
      <c r="G22" s="13"/>
      <c r="H22" s="13" t="s">
        <v>81</v>
      </c>
      <c r="I22" s="13" t="s">
        <v>54</v>
      </c>
      <c r="J22" s="13">
        <v>780</v>
      </c>
      <c r="K22" s="13"/>
      <c r="L22" s="13"/>
      <c r="M22" s="13"/>
      <c r="N22" s="13" t="s">
        <v>101</v>
      </c>
      <c r="O22" s="19" t="s">
        <v>112</v>
      </c>
      <c r="P22" s="13">
        <v>9310739</v>
      </c>
      <c r="Q22" s="65" t="s">
        <v>84</v>
      </c>
      <c r="R22" s="13" t="s">
        <v>85</v>
      </c>
      <c r="S22" s="13" t="s">
        <v>85</v>
      </c>
      <c r="T22" s="13"/>
      <c r="U22" s="13"/>
    </row>
    <row r="23" hidden="1" customHeight="1" spans="1:21">
      <c r="A23" s="18">
        <v>46207</v>
      </c>
      <c r="B23" s="13">
        <v>3232142</v>
      </c>
      <c r="C23" s="13" t="s">
        <v>45</v>
      </c>
      <c r="D23" s="13" t="s">
        <v>113</v>
      </c>
      <c r="E23" s="13">
        <v>15083814138</v>
      </c>
      <c r="F23" s="13" t="s">
        <v>90</v>
      </c>
      <c r="H23" s="13" t="s">
        <v>81</v>
      </c>
      <c r="I23" s="13" t="s">
        <v>54</v>
      </c>
      <c r="J23" s="13">
        <v>1560</v>
      </c>
      <c r="N23" s="13" t="s">
        <v>82</v>
      </c>
      <c r="O23" s="13" t="s">
        <v>114</v>
      </c>
      <c r="P23" s="13">
        <v>9310740</v>
      </c>
      <c r="Q23" s="65" t="s">
        <v>84</v>
      </c>
      <c r="R23" s="13" t="s">
        <v>85</v>
      </c>
      <c r="S23" s="13" t="s">
        <v>85</v>
      </c>
    </row>
    <row r="24" s="15" customFormat="1" ht="27" hidden="1" customHeight="1" spans="1:21">
      <c r="A24" s="18">
        <v>46207</v>
      </c>
      <c r="B24" s="13">
        <v>3232144</v>
      </c>
      <c r="C24" s="13" t="s">
        <v>45</v>
      </c>
      <c r="D24" s="13" t="s">
        <v>115</v>
      </c>
      <c r="E24" s="13">
        <v>13803544386</v>
      </c>
      <c r="F24" s="13" t="s">
        <v>116</v>
      </c>
      <c r="G24" s="13"/>
      <c r="H24" s="13" t="s">
        <v>81</v>
      </c>
      <c r="I24" s="13" t="s">
        <v>54</v>
      </c>
      <c r="J24" s="13">
        <v>1280</v>
      </c>
      <c r="K24" s="13"/>
      <c r="L24" s="13"/>
      <c r="M24" s="13"/>
      <c r="N24" s="13" t="s">
        <v>117</v>
      </c>
      <c r="O24" s="13" t="s">
        <v>118</v>
      </c>
      <c r="P24" s="13">
        <v>9310742</v>
      </c>
      <c r="Q24" s="65" t="s">
        <v>84</v>
      </c>
      <c r="R24" s="13" t="s">
        <v>85</v>
      </c>
      <c r="S24" s="13" t="s">
        <v>85</v>
      </c>
      <c r="T24" s="13"/>
      <c r="U24" s="13"/>
    </row>
    <row r="25" s="15" customFormat="1" ht="29" hidden="1" customHeight="1" spans="1:21">
      <c r="A25" s="18">
        <v>46207</v>
      </c>
      <c r="B25" s="13">
        <v>3232145</v>
      </c>
      <c r="C25" s="13" t="s">
        <v>43</v>
      </c>
      <c r="D25" s="13" t="s">
        <v>119</v>
      </c>
      <c r="E25" s="13">
        <v>18921077372</v>
      </c>
      <c r="F25" s="13" t="s">
        <v>120</v>
      </c>
      <c r="G25" s="13"/>
      <c r="H25" s="13" t="s">
        <v>81</v>
      </c>
      <c r="I25" s="13" t="s">
        <v>54</v>
      </c>
      <c r="J25" s="13">
        <v>1000</v>
      </c>
      <c r="K25" s="13"/>
      <c r="L25" s="13" t="s">
        <v>91</v>
      </c>
      <c r="M25" s="13" t="s">
        <v>121</v>
      </c>
      <c r="N25" s="13" t="s">
        <v>101</v>
      </c>
      <c r="O25" s="19" t="s">
        <v>122</v>
      </c>
      <c r="P25" s="13">
        <v>9131477</v>
      </c>
      <c r="Q25" s="65" t="s">
        <v>84</v>
      </c>
      <c r="R25" s="13" t="s">
        <v>85</v>
      </c>
      <c r="S25" s="13" t="s">
        <v>85</v>
      </c>
      <c r="T25" s="13"/>
      <c r="U25" s="13"/>
    </row>
    <row r="26" s="15" customFormat="1" hidden="1" customHeight="1" spans="1:21">
      <c r="A26" s="18">
        <v>46207</v>
      </c>
      <c r="B26" s="13">
        <v>3232146</v>
      </c>
      <c r="C26" s="13" t="s">
        <v>45</v>
      </c>
      <c r="D26" s="13" t="s">
        <v>123</v>
      </c>
      <c r="E26" s="13">
        <v>18827769217</v>
      </c>
      <c r="F26" s="13" t="s">
        <v>90</v>
      </c>
      <c r="G26" s="13"/>
      <c r="H26" s="13" t="s">
        <v>81</v>
      </c>
      <c r="I26" s="13" t="s">
        <v>54</v>
      </c>
      <c r="J26" s="13">
        <v>1360</v>
      </c>
      <c r="K26" s="13"/>
      <c r="L26" s="13"/>
      <c r="M26" s="13"/>
      <c r="N26" s="13" t="s">
        <v>101</v>
      </c>
      <c r="O26" s="19" t="s">
        <v>124</v>
      </c>
      <c r="P26" s="13">
        <v>9310743</v>
      </c>
      <c r="Q26" s="65" t="s">
        <v>84</v>
      </c>
      <c r="R26" s="13" t="s">
        <v>85</v>
      </c>
      <c r="S26" s="13" t="s">
        <v>85</v>
      </c>
      <c r="T26" s="13"/>
      <c r="U26" s="13"/>
    </row>
    <row r="27" hidden="1" customHeight="1" spans="1:21">
      <c r="A27" s="18">
        <v>46207</v>
      </c>
      <c r="C27" s="13" t="s">
        <v>48</v>
      </c>
      <c r="J27" s="13">
        <v>48</v>
      </c>
      <c r="O27" s="21" t="s">
        <v>125</v>
      </c>
    </row>
    <row r="28" hidden="1" customHeight="1" spans="1:21">
      <c r="A28" s="18">
        <v>46207</v>
      </c>
      <c r="C28" s="13" t="s">
        <v>49</v>
      </c>
      <c r="E28" s="21"/>
      <c r="J28" s="13">
        <v>35</v>
      </c>
      <c r="O28" s="73" t="s">
        <v>126</v>
      </c>
      <c r="P28" s="19"/>
    </row>
    <row r="29" ht="26" hidden="1" customHeight="1" spans="1:21">
      <c r="A29" s="18">
        <v>46207</v>
      </c>
      <c r="C29" s="13" t="s">
        <v>51</v>
      </c>
      <c r="E29" s="21"/>
      <c r="J29" s="13">
        <v>190</v>
      </c>
      <c r="O29" s="73" t="s">
        <v>127</v>
      </c>
      <c r="P29" s="19"/>
    </row>
    <row r="30" s="15" customFormat="1" hidden="1" customHeight="1" spans="1:21">
      <c r="A30" s="18">
        <v>46207</v>
      </c>
      <c r="B30" s="13">
        <v>3232147</v>
      </c>
      <c r="C30" s="13" t="s">
        <v>43</v>
      </c>
      <c r="D30" s="13" t="s">
        <v>128</v>
      </c>
      <c r="E30" s="21" t="s">
        <v>129</v>
      </c>
      <c r="F30" s="13" t="s">
        <v>80</v>
      </c>
      <c r="G30" s="13"/>
      <c r="H30" s="13" t="s">
        <v>81</v>
      </c>
      <c r="I30" s="13" t="s">
        <v>54</v>
      </c>
      <c r="J30" s="13">
        <v>500</v>
      </c>
      <c r="K30" s="13"/>
      <c r="L30" s="13"/>
      <c r="M30" s="13"/>
      <c r="N30" s="13" t="s">
        <v>82</v>
      </c>
      <c r="O30" s="73" t="s">
        <v>130</v>
      </c>
      <c r="P30" s="13">
        <v>9131480</v>
      </c>
      <c r="Q30" s="65" t="s">
        <v>84</v>
      </c>
      <c r="R30" s="13" t="s">
        <v>85</v>
      </c>
      <c r="S30" s="13" t="s">
        <v>85</v>
      </c>
      <c r="T30" s="13"/>
      <c r="U30" s="13"/>
    </row>
    <row r="31" hidden="1" customHeight="1" spans="1:21">
      <c r="A31" s="72">
        <v>46208</v>
      </c>
      <c r="B31" s="13">
        <v>3232148</v>
      </c>
      <c r="C31" s="13" t="s">
        <v>43</v>
      </c>
      <c r="D31" s="13" t="s">
        <v>131</v>
      </c>
      <c r="E31" s="21">
        <v>15397802300</v>
      </c>
      <c r="F31" s="13" t="s">
        <v>80</v>
      </c>
      <c r="H31" s="13" t="s">
        <v>81</v>
      </c>
      <c r="I31" s="13" t="s">
        <v>54</v>
      </c>
      <c r="J31" s="13">
        <v>299</v>
      </c>
      <c r="N31" s="13" t="s">
        <v>91</v>
      </c>
      <c r="O31" s="73" t="s">
        <v>80</v>
      </c>
      <c r="P31" s="13">
        <v>9131479</v>
      </c>
      <c r="Q31" s="65" t="s">
        <v>84</v>
      </c>
      <c r="R31" s="13" t="s">
        <v>85</v>
      </c>
      <c r="S31" s="13" t="s">
        <v>85</v>
      </c>
    </row>
    <row r="32" hidden="1" customHeight="1" spans="1:21">
      <c r="A32" s="18">
        <v>46208</v>
      </c>
      <c r="B32" s="13">
        <v>3232149</v>
      </c>
      <c r="C32" s="13" t="s">
        <v>45</v>
      </c>
      <c r="D32" s="13" t="s">
        <v>132</v>
      </c>
      <c r="E32" s="13">
        <v>19979056750</v>
      </c>
      <c r="F32" s="13" t="s">
        <v>100</v>
      </c>
      <c r="H32" s="13" t="s">
        <v>81</v>
      </c>
      <c r="I32" s="13" t="s">
        <v>54</v>
      </c>
      <c r="J32" s="13">
        <v>1280</v>
      </c>
      <c r="N32" s="13" t="s">
        <v>101</v>
      </c>
      <c r="O32" s="19" t="s">
        <v>133</v>
      </c>
      <c r="P32" s="13">
        <v>9310744</v>
      </c>
      <c r="Q32" s="65" t="s">
        <v>84</v>
      </c>
      <c r="R32" s="13" t="s">
        <v>85</v>
      </c>
      <c r="S32" s="13" t="s">
        <v>85</v>
      </c>
    </row>
    <row r="33" hidden="1" customHeight="1" spans="1:21">
      <c r="A33" s="18">
        <v>46208</v>
      </c>
      <c r="B33" s="13">
        <v>3232151</v>
      </c>
      <c r="C33" s="13" t="s">
        <v>45</v>
      </c>
      <c r="D33" s="13" t="s">
        <v>134</v>
      </c>
      <c r="E33" s="21">
        <v>15279362987</v>
      </c>
      <c r="F33" s="13" t="s">
        <v>100</v>
      </c>
      <c r="H33" s="13" t="s">
        <v>81</v>
      </c>
      <c r="I33" s="13" t="s">
        <v>55</v>
      </c>
      <c r="J33" s="13">
        <v>900</v>
      </c>
      <c r="N33" s="13" t="s">
        <v>91</v>
      </c>
      <c r="O33" s="19" t="s">
        <v>135</v>
      </c>
      <c r="P33" s="13">
        <v>9310746</v>
      </c>
      <c r="Q33" s="65" t="s">
        <v>84</v>
      </c>
      <c r="R33" s="13" t="s">
        <v>85</v>
      </c>
      <c r="S33" s="13" t="s">
        <v>85</v>
      </c>
    </row>
    <row r="34" hidden="1" customHeight="1" spans="1:21">
      <c r="A34" s="18">
        <v>46208</v>
      </c>
      <c r="B34" s="13">
        <v>3232150</v>
      </c>
      <c r="C34" s="13" t="s">
        <v>45</v>
      </c>
      <c r="D34" s="13" t="s">
        <v>136</v>
      </c>
      <c r="E34" s="21">
        <v>13694882406</v>
      </c>
      <c r="F34" s="13" t="s">
        <v>100</v>
      </c>
      <c r="H34" s="13" t="s">
        <v>81</v>
      </c>
      <c r="I34" s="13" t="s">
        <v>55</v>
      </c>
      <c r="J34" s="13">
        <v>1800</v>
      </c>
      <c r="N34" s="13" t="s">
        <v>91</v>
      </c>
      <c r="O34" s="19" t="s">
        <v>137</v>
      </c>
      <c r="P34" s="13">
        <v>9310745</v>
      </c>
      <c r="Q34" s="65" t="s">
        <v>84</v>
      </c>
      <c r="R34" s="13" t="s">
        <v>85</v>
      </c>
      <c r="S34" s="13" t="s">
        <v>85</v>
      </c>
    </row>
    <row r="35" ht="30" hidden="1" customHeight="1" spans="1:21">
      <c r="A35" s="18">
        <v>46208</v>
      </c>
      <c r="B35" s="13">
        <v>2122961</v>
      </c>
      <c r="C35" s="13" t="s">
        <v>45</v>
      </c>
      <c r="D35" s="13" t="s">
        <v>138</v>
      </c>
      <c r="E35" s="21">
        <v>13627002502</v>
      </c>
      <c r="F35" s="13" t="s">
        <v>90</v>
      </c>
      <c r="H35" s="13" t="s">
        <v>81</v>
      </c>
      <c r="I35" s="13" t="s">
        <v>54</v>
      </c>
      <c r="J35" s="13">
        <v>780</v>
      </c>
      <c r="N35" s="13" t="s">
        <v>91</v>
      </c>
      <c r="O35" s="19" t="s">
        <v>139</v>
      </c>
      <c r="P35" s="13">
        <v>9310747</v>
      </c>
      <c r="Q35" s="65" t="s">
        <v>84</v>
      </c>
      <c r="R35" s="13" t="s">
        <v>85</v>
      </c>
      <c r="S35" s="13" t="s">
        <v>85</v>
      </c>
    </row>
    <row r="36" hidden="1" customHeight="1" spans="1:21">
      <c r="A36" s="18">
        <v>46208</v>
      </c>
      <c r="B36" s="13">
        <v>2122962</v>
      </c>
      <c r="C36" s="13" t="s">
        <v>43</v>
      </c>
      <c r="D36" s="13" t="s">
        <v>140</v>
      </c>
      <c r="E36" s="13">
        <v>18970870418</v>
      </c>
      <c r="F36" s="13" t="s">
        <v>80</v>
      </c>
      <c r="H36" s="13" t="s">
        <v>81</v>
      </c>
      <c r="I36" s="13" t="s">
        <v>54</v>
      </c>
      <c r="J36" s="13">
        <v>299</v>
      </c>
      <c r="N36" s="13" t="s">
        <v>91</v>
      </c>
      <c r="O36" s="13" t="s">
        <v>141</v>
      </c>
      <c r="P36" s="13">
        <v>9131478</v>
      </c>
      <c r="Q36" s="65" t="s">
        <v>84</v>
      </c>
      <c r="R36" s="13" t="s">
        <v>85</v>
      </c>
      <c r="S36" s="13" t="s">
        <v>85</v>
      </c>
    </row>
    <row r="37" hidden="1" customHeight="1" spans="1:21">
      <c r="A37" s="18">
        <v>46208</v>
      </c>
      <c r="B37" s="13">
        <v>3232152</v>
      </c>
      <c r="C37" s="13" t="s">
        <v>43</v>
      </c>
      <c r="D37" s="13" t="s">
        <v>142</v>
      </c>
      <c r="E37" s="13">
        <v>13970955949</v>
      </c>
      <c r="F37" s="13" t="s">
        <v>80</v>
      </c>
      <c r="H37" s="13" t="s">
        <v>81</v>
      </c>
      <c r="I37" s="13" t="s">
        <v>54</v>
      </c>
      <c r="J37" s="13">
        <v>499</v>
      </c>
      <c r="N37" s="13" t="s">
        <v>91</v>
      </c>
      <c r="O37" s="13" t="s">
        <v>143</v>
      </c>
      <c r="P37" s="13">
        <v>9131481</v>
      </c>
      <c r="Q37" s="65" t="s">
        <v>84</v>
      </c>
      <c r="R37" s="13" t="s">
        <v>85</v>
      </c>
      <c r="S37" s="13" t="s">
        <v>85</v>
      </c>
    </row>
    <row r="38" s="15" customFormat="1" hidden="1" customHeight="1" spans="1:21">
      <c r="A38" s="18">
        <v>46208</v>
      </c>
      <c r="B38" s="13">
        <v>2122963</v>
      </c>
      <c r="C38" s="13" t="s">
        <v>43</v>
      </c>
      <c r="D38" s="13" t="s">
        <v>144</v>
      </c>
      <c r="E38" s="13">
        <v>15007916111</v>
      </c>
      <c r="F38" s="13" t="s">
        <v>80</v>
      </c>
      <c r="G38" s="13"/>
      <c r="H38" s="13" t="s">
        <v>81</v>
      </c>
      <c r="I38" s="13" t="s">
        <v>54</v>
      </c>
      <c r="J38" s="13">
        <v>300</v>
      </c>
      <c r="K38" s="13"/>
      <c r="L38" s="13"/>
      <c r="M38" s="13"/>
      <c r="N38" s="13" t="s">
        <v>91</v>
      </c>
      <c r="O38" s="13" t="s">
        <v>145</v>
      </c>
      <c r="P38" s="13">
        <v>9131482</v>
      </c>
      <c r="Q38" s="65" t="s">
        <v>84</v>
      </c>
      <c r="R38" s="13" t="s">
        <v>85</v>
      </c>
      <c r="S38" s="13" t="s">
        <v>85</v>
      </c>
      <c r="T38" s="13"/>
      <c r="U38" s="13"/>
    </row>
    <row r="39" s="15" customFormat="1" hidden="1" customHeight="1" spans="1:21">
      <c r="A39" s="18">
        <v>46208</v>
      </c>
      <c r="B39" s="13">
        <v>3232153</v>
      </c>
      <c r="C39" s="13" t="s">
        <v>43</v>
      </c>
      <c r="D39" s="13" t="s">
        <v>146</v>
      </c>
      <c r="E39" s="13">
        <v>13767024105</v>
      </c>
      <c r="F39" s="13" t="s">
        <v>80</v>
      </c>
      <c r="G39" s="13"/>
      <c r="H39" s="13" t="s">
        <v>81</v>
      </c>
      <c r="I39" s="13" t="s">
        <v>54</v>
      </c>
      <c r="J39" s="13">
        <v>500</v>
      </c>
      <c r="K39" s="13"/>
      <c r="L39" s="13"/>
      <c r="M39" s="13"/>
      <c r="N39" s="13" t="s">
        <v>91</v>
      </c>
      <c r="O39" s="13" t="s">
        <v>98</v>
      </c>
      <c r="P39" s="13">
        <v>9131483</v>
      </c>
      <c r="Q39" s="65" t="s">
        <v>84</v>
      </c>
      <c r="R39" s="13" t="s">
        <v>85</v>
      </c>
      <c r="S39" s="13" t="s">
        <v>85</v>
      </c>
      <c r="T39" s="13"/>
      <c r="U39" s="13"/>
    </row>
    <row r="40" ht="30" hidden="1" customHeight="1" spans="1:21">
      <c r="A40" s="18">
        <v>46208</v>
      </c>
      <c r="B40" s="13">
        <v>2122964</v>
      </c>
      <c r="C40" s="13" t="s">
        <v>43</v>
      </c>
      <c r="D40" s="21" t="s">
        <v>147</v>
      </c>
      <c r="E40" s="13">
        <v>18826191662</v>
      </c>
      <c r="F40" s="13" t="s">
        <v>80</v>
      </c>
      <c r="H40" s="13" t="s">
        <v>81</v>
      </c>
      <c r="I40" s="13" t="s">
        <v>54</v>
      </c>
      <c r="J40" s="13">
        <v>420</v>
      </c>
      <c r="N40" s="13" t="s">
        <v>101</v>
      </c>
      <c r="O40" s="73" t="s">
        <v>98</v>
      </c>
      <c r="P40" s="13">
        <v>9131484</v>
      </c>
      <c r="Q40" s="65" t="s">
        <v>84</v>
      </c>
      <c r="R40" s="13" t="s">
        <v>85</v>
      </c>
      <c r="S40" s="13" t="s">
        <v>85</v>
      </c>
    </row>
    <row r="41" hidden="1" customHeight="1" spans="1:21">
      <c r="A41" s="18">
        <v>46208</v>
      </c>
      <c r="B41" s="13">
        <v>2122965</v>
      </c>
      <c r="C41" s="13" t="s">
        <v>45</v>
      </c>
      <c r="D41" s="13" t="s">
        <v>148</v>
      </c>
      <c r="E41" s="13">
        <v>15179109737</v>
      </c>
      <c r="F41" s="13" t="s">
        <v>90</v>
      </c>
      <c r="H41" s="13" t="s">
        <v>81</v>
      </c>
      <c r="I41" s="13" t="s">
        <v>54</v>
      </c>
      <c r="J41" s="13">
        <v>780</v>
      </c>
      <c r="N41" s="13" t="s">
        <v>101</v>
      </c>
      <c r="O41" s="73" t="s">
        <v>149</v>
      </c>
      <c r="P41" s="13">
        <v>9310748</v>
      </c>
      <c r="Q41" s="65" t="s">
        <v>84</v>
      </c>
      <c r="R41" s="13" t="s">
        <v>85</v>
      </c>
      <c r="S41" s="13" t="s">
        <v>85</v>
      </c>
    </row>
    <row r="42" hidden="1" customHeight="1" spans="1:21">
      <c r="A42" s="18">
        <v>46208</v>
      </c>
      <c r="B42" s="13">
        <v>3232154</v>
      </c>
      <c r="C42" s="13" t="s">
        <v>43</v>
      </c>
      <c r="D42" s="13" t="s">
        <v>150</v>
      </c>
      <c r="E42" s="13">
        <v>18675572895</v>
      </c>
      <c r="F42" s="13" t="s">
        <v>80</v>
      </c>
      <c r="H42" s="13" t="s">
        <v>81</v>
      </c>
      <c r="I42" s="13" t="s">
        <v>54</v>
      </c>
      <c r="J42" s="13">
        <v>200</v>
      </c>
      <c r="N42" s="13" t="s">
        <v>91</v>
      </c>
      <c r="O42" s="13" t="s">
        <v>80</v>
      </c>
      <c r="P42" s="13">
        <v>9131485</v>
      </c>
      <c r="Q42" s="65" t="s">
        <v>84</v>
      </c>
      <c r="R42" s="13" t="s">
        <v>85</v>
      </c>
      <c r="S42" s="13" t="s">
        <v>85</v>
      </c>
    </row>
    <row r="43" s="15" customFormat="1" hidden="1" customHeight="1" spans="1:21">
      <c r="A43" s="18">
        <v>46208</v>
      </c>
      <c r="B43" s="13">
        <v>3232143</v>
      </c>
      <c r="C43" s="13" t="s">
        <v>45</v>
      </c>
      <c r="D43" s="13" t="s">
        <v>151</v>
      </c>
      <c r="E43" s="13">
        <v>13576038686</v>
      </c>
      <c r="F43" s="13" t="s">
        <v>90</v>
      </c>
      <c r="G43" s="13"/>
      <c r="H43" s="13" t="s">
        <v>81</v>
      </c>
      <c r="I43" s="13" t="s">
        <v>54</v>
      </c>
      <c r="J43" s="13">
        <v>780</v>
      </c>
      <c r="K43" s="13"/>
      <c r="L43" s="13"/>
      <c r="M43" s="13"/>
      <c r="N43" s="13" t="s">
        <v>152</v>
      </c>
      <c r="O43" s="19" t="s">
        <v>153</v>
      </c>
      <c r="P43" s="13">
        <v>93170741</v>
      </c>
      <c r="Q43" s="65" t="s">
        <v>84</v>
      </c>
      <c r="R43" s="13" t="s">
        <v>85</v>
      </c>
      <c r="S43" s="13" t="s">
        <v>85</v>
      </c>
      <c r="T43" s="13"/>
      <c r="U43" s="13"/>
    </row>
    <row r="44" hidden="1" customHeight="1" spans="1:21">
      <c r="A44" s="18">
        <v>46208</v>
      </c>
      <c r="C44" s="13" t="s">
        <v>48</v>
      </c>
      <c r="J44" s="13">
        <v>58</v>
      </c>
      <c r="O44" s="13" t="s">
        <v>154</v>
      </c>
    </row>
    <row r="45" hidden="1" customHeight="1" spans="1:21">
      <c r="A45" s="18">
        <v>46208</v>
      </c>
      <c r="C45" s="13" t="s">
        <v>49</v>
      </c>
      <c r="J45" s="13">
        <v>40</v>
      </c>
      <c r="O45" s="13" t="s">
        <v>155</v>
      </c>
    </row>
    <row r="46" ht="23" hidden="1" customHeight="1" spans="1:21">
      <c r="A46" s="18">
        <v>46208</v>
      </c>
      <c r="C46" s="13" t="s">
        <v>50</v>
      </c>
      <c r="J46" s="13">
        <v>139.5</v>
      </c>
      <c r="O46" s="13" t="s">
        <v>156</v>
      </c>
    </row>
    <row r="47" hidden="1" customHeight="1" spans="1:21">
      <c r="A47" s="18">
        <v>46208</v>
      </c>
      <c r="C47" s="13" t="s">
        <v>51</v>
      </c>
      <c r="J47" s="13">
        <v>95</v>
      </c>
      <c r="O47" s="13" t="s">
        <v>157</v>
      </c>
    </row>
    <row r="48" hidden="1" customHeight="1" spans="1:21">
      <c r="A48" s="72">
        <v>46209</v>
      </c>
      <c r="B48" s="13">
        <v>3232155</v>
      </c>
      <c r="C48" s="13" t="s">
        <v>45</v>
      </c>
      <c r="D48" s="13" t="s">
        <v>158</v>
      </c>
      <c r="E48" s="13">
        <v>13755665210</v>
      </c>
      <c r="F48" s="13" t="s">
        <v>90</v>
      </c>
      <c r="H48" s="13" t="s">
        <v>81</v>
      </c>
      <c r="I48" s="13" t="s">
        <v>54</v>
      </c>
      <c r="J48" s="13">
        <v>688</v>
      </c>
      <c r="N48" s="13" t="s">
        <v>101</v>
      </c>
      <c r="O48" s="19" t="s">
        <v>159</v>
      </c>
      <c r="P48" s="13">
        <v>9310749</v>
      </c>
      <c r="Q48" s="65" t="s">
        <v>84</v>
      </c>
      <c r="R48" s="13" t="s">
        <v>85</v>
      </c>
      <c r="S48" s="13" t="s">
        <v>85</v>
      </c>
    </row>
    <row r="49" hidden="1" customHeight="1" spans="1:19">
      <c r="A49" s="18">
        <v>46209</v>
      </c>
      <c r="B49" s="13">
        <v>3232156</v>
      </c>
      <c r="C49" s="13" t="s">
        <v>45</v>
      </c>
      <c r="D49" s="13" t="s">
        <v>160</v>
      </c>
      <c r="E49" s="13">
        <v>18170936757</v>
      </c>
      <c r="F49" s="13" t="s">
        <v>90</v>
      </c>
      <c r="H49" s="13" t="s">
        <v>81</v>
      </c>
      <c r="I49" s="13" t="s">
        <v>54</v>
      </c>
      <c r="J49" s="13">
        <v>800</v>
      </c>
      <c r="N49" s="13" t="s">
        <v>161</v>
      </c>
      <c r="O49" s="13" t="s">
        <v>162</v>
      </c>
      <c r="P49" s="13">
        <v>9310750</v>
      </c>
      <c r="Q49" s="65" t="s">
        <v>84</v>
      </c>
      <c r="R49" s="13" t="s">
        <v>85</v>
      </c>
      <c r="S49" s="13" t="s">
        <v>85</v>
      </c>
    </row>
    <row r="50" hidden="1" customHeight="1" spans="1:19">
      <c r="A50" s="18">
        <v>46209</v>
      </c>
      <c r="B50" s="13">
        <v>3232159</v>
      </c>
      <c r="C50" s="13" t="s">
        <v>43</v>
      </c>
      <c r="D50" s="13" t="s">
        <v>163</v>
      </c>
      <c r="E50" s="13">
        <v>17370000768</v>
      </c>
      <c r="F50" s="13" t="s">
        <v>80</v>
      </c>
      <c r="H50" s="13" t="s">
        <v>81</v>
      </c>
      <c r="I50" s="13" t="s">
        <v>54</v>
      </c>
      <c r="J50" s="13">
        <v>292</v>
      </c>
      <c r="N50" s="13" t="s">
        <v>82</v>
      </c>
      <c r="O50" s="13" t="s">
        <v>164</v>
      </c>
      <c r="P50" s="13">
        <v>9131489</v>
      </c>
      <c r="Q50" s="65" t="s">
        <v>84</v>
      </c>
      <c r="R50" s="13" t="s">
        <v>85</v>
      </c>
      <c r="S50" s="13" t="s">
        <v>85</v>
      </c>
    </row>
    <row r="51" hidden="1" customHeight="1" spans="1:19">
      <c r="A51" s="18">
        <v>46209</v>
      </c>
      <c r="B51" s="13">
        <v>2122966</v>
      </c>
      <c r="C51" s="13" t="s">
        <v>43</v>
      </c>
      <c r="D51" s="13" t="s">
        <v>165</v>
      </c>
      <c r="E51" s="13">
        <v>18170031717</v>
      </c>
      <c r="F51" s="13" t="s">
        <v>80</v>
      </c>
      <c r="H51" s="13" t="s">
        <v>81</v>
      </c>
      <c r="I51" s="13" t="s">
        <v>54</v>
      </c>
      <c r="J51" s="13">
        <v>300</v>
      </c>
      <c r="N51" s="13" t="s">
        <v>82</v>
      </c>
      <c r="O51" s="13" t="s">
        <v>164</v>
      </c>
      <c r="P51" s="13">
        <v>9131486</v>
      </c>
      <c r="Q51" s="65" t="s">
        <v>84</v>
      </c>
      <c r="R51" s="13" t="s">
        <v>85</v>
      </c>
      <c r="S51" s="13" t="s">
        <v>85</v>
      </c>
    </row>
    <row r="52" ht="21" hidden="1" customHeight="1" spans="1:19">
      <c r="A52" s="18">
        <v>46209</v>
      </c>
      <c r="B52" s="13">
        <v>3232157</v>
      </c>
      <c r="C52" s="13" t="s">
        <v>43</v>
      </c>
      <c r="D52" s="13" t="s">
        <v>166</v>
      </c>
      <c r="E52" s="13">
        <v>15307044695</v>
      </c>
      <c r="F52" s="13" t="s">
        <v>80</v>
      </c>
      <c r="H52" s="13" t="s">
        <v>81</v>
      </c>
      <c r="I52" s="13" t="s">
        <v>54</v>
      </c>
      <c r="J52" s="13">
        <v>299</v>
      </c>
      <c r="N52" s="13" t="s">
        <v>101</v>
      </c>
      <c r="O52" s="13" t="s">
        <v>80</v>
      </c>
      <c r="P52" s="13">
        <v>9131487</v>
      </c>
      <c r="Q52" s="65" t="s">
        <v>84</v>
      </c>
      <c r="R52" s="13" t="s">
        <v>85</v>
      </c>
      <c r="S52" s="13" t="s">
        <v>85</v>
      </c>
    </row>
    <row r="53" ht="32" hidden="1" customHeight="1" spans="1:19">
      <c r="A53" s="18">
        <v>46209</v>
      </c>
      <c r="B53" s="13">
        <v>2122967</v>
      </c>
      <c r="C53" s="13" t="s">
        <v>45</v>
      </c>
      <c r="D53" s="13" t="s">
        <v>167</v>
      </c>
      <c r="E53" s="21" t="s">
        <v>168</v>
      </c>
      <c r="F53" s="13" t="s">
        <v>90</v>
      </c>
      <c r="H53" s="13" t="s">
        <v>81</v>
      </c>
      <c r="I53" s="13" t="s">
        <v>54</v>
      </c>
      <c r="J53" s="13">
        <v>1560</v>
      </c>
      <c r="N53" s="13" t="s">
        <v>152</v>
      </c>
      <c r="O53" s="21" t="s">
        <v>169</v>
      </c>
      <c r="P53" s="13">
        <v>9310751</v>
      </c>
      <c r="Q53" s="65" t="s">
        <v>84</v>
      </c>
      <c r="R53" s="13" t="s">
        <v>85</v>
      </c>
      <c r="S53" s="13" t="s">
        <v>85</v>
      </c>
    </row>
    <row r="54" hidden="1" customHeight="1" spans="1:19">
      <c r="A54" s="18">
        <v>46209</v>
      </c>
      <c r="B54" s="13">
        <v>3232158</v>
      </c>
      <c r="C54" s="13" t="s">
        <v>43</v>
      </c>
      <c r="D54" s="13" t="s">
        <v>170</v>
      </c>
      <c r="E54" s="21">
        <v>15079139079</v>
      </c>
      <c r="F54" s="13" t="s">
        <v>120</v>
      </c>
      <c r="H54" s="13" t="s">
        <v>81</v>
      </c>
      <c r="I54" s="13" t="s">
        <v>54</v>
      </c>
      <c r="J54" s="13">
        <v>1000</v>
      </c>
      <c r="N54" s="13" t="s">
        <v>91</v>
      </c>
      <c r="O54" s="21" t="s">
        <v>171</v>
      </c>
      <c r="P54" s="13">
        <v>9131488</v>
      </c>
      <c r="Q54" s="65" t="s">
        <v>84</v>
      </c>
      <c r="R54" s="13" t="s">
        <v>85</v>
      </c>
      <c r="S54" s="13" t="s">
        <v>85</v>
      </c>
    </row>
    <row r="55" hidden="1" customHeight="1" spans="1:19">
      <c r="A55" s="18">
        <v>46209</v>
      </c>
      <c r="B55" s="13">
        <v>3232160</v>
      </c>
      <c r="C55" s="13" t="s">
        <v>43</v>
      </c>
      <c r="D55" s="13" t="s">
        <v>172</v>
      </c>
      <c r="E55" s="21">
        <v>15279112372</v>
      </c>
      <c r="F55" s="13" t="s">
        <v>80</v>
      </c>
      <c r="H55" s="13" t="s">
        <v>81</v>
      </c>
      <c r="I55" s="13" t="s">
        <v>54</v>
      </c>
      <c r="J55" s="13">
        <v>299</v>
      </c>
      <c r="N55" s="13" t="s">
        <v>82</v>
      </c>
      <c r="O55" s="21" t="s">
        <v>80</v>
      </c>
      <c r="P55" s="13">
        <v>9131490</v>
      </c>
      <c r="Q55" s="65" t="s">
        <v>84</v>
      </c>
      <c r="R55" s="13" t="s">
        <v>85</v>
      </c>
      <c r="S55" s="13" t="s">
        <v>85</v>
      </c>
    </row>
    <row r="56" hidden="1" customHeight="1" spans="1:19">
      <c r="A56" s="18">
        <v>46209</v>
      </c>
      <c r="B56" s="13">
        <v>2122968</v>
      </c>
      <c r="C56" s="13" t="s">
        <v>45</v>
      </c>
      <c r="D56" s="13" t="s">
        <v>173</v>
      </c>
      <c r="E56" s="21">
        <v>18979113596</v>
      </c>
      <c r="F56" s="13" t="s">
        <v>174</v>
      </c>
      <c r="H56" s="13" t="s">
        <v>81</v>
      </c>
      <c r="I56" s="13" t="s">
        <v>54</v>
      </c>
      <c r="J56" s="13">
        <v>1800</v>
      </c>
      <c r="N56" s="13" t="s">
        <v>101</v>
      </c>
      <c r="O56" s="21" t="s">
        <v>175</v>
      </c>
      <c r="P56" s="13">
        <v>9310752</v>
      </c>
      <c r="Q56" s="65" t="s">
        <v>84</v>
      </c>
      <c r="R56" s="13" t="s">
        <v>85</v>
      </c>
      <c r="S56" s="13" t="s">
        <v>85</v>
      </c>
    </row>
    <row r="57" hidden="1" customHeight="1" spans="1:19">
      <c r="A57" s="18">
        <v>46209</v>
      </c>
      <c r="C57" s="13" t="s">
        <v>48</v>
      </c>
      <c r="J57" s="13">
        <v>76</v>
      </c>
      <c r="O57" s="13" t="s">
        <v>176</v>
      </c>
    </row>
    <row r="58" hidden="1" customHeight="1" spans="1:19">
      <c r="A58" s="18">
        <v>46209</v>
      </c>
      <c r="C58" s="13" t="s">
        <v>49</v>
      </c>
      <c r="J58" s="13">
        <v>50</v>
      </c>
      <c r="O58" s="13" t="s">
        <v>177</v>
      </c>
    </row>
    <row r="59" hidden="1" customHeight="1" spans="1:19">
      <c r="A59" s="18">
        <v>46209</v>
      </c>
      <c r="C59" s="13" t="s">
        <v>50</v>
      </c>
      <c r="J59" s="13">
        <v>74.6</v>
      </c>
      <c r="O59" s="13" t="s">
        <v>178</v>
      </c>
    </row>
    <row r="60" hidden="1" customHeight="1" spans="1:19">
      <c r="A60" s="18">
        <v>46209</v>
      </c>
      <c r="C60" s="13" t="s">
        <v>51</v>
      </c>
      <c r="J60" s="13">
        <v>19.9</v>
      </c>
      <c r="O60" s="13" t="s">
        <v>88</v>
      </c>
    </row>
    <row r="61" hidden="1" customHeight="1" spans="1:19">
      <c r="A61" s="72">
        <v>46210</v>
      </c>
      <c r="B61" s="13">
        <v>2022961</v>
      </c>
      <c r="C61" s="13" t="s">
        <v>43</v>
      </c>
      <c r="D61" s="13" t="s">
        <v>179</v>
      </c>
      <c r="E61" s="13">
        <v>13576048274</v>
      </c>
      <c r="F61" s="13" t="s">
        <v>120</v>
      </c>
      <c r="H61" s="13" t="s">
        <v>81</v>
      </c>
      <c r="I61" s="13" t="s">
        <v>54</v>
      </c>
      <c r="J61" s="13">
        <v>1000</v>
      </c>
      <c r="N61" s="13" t="s">
        <v>91</v>
      </c>
      <c r="O61" s="13" t="s">
        <v>180</v>
      </c>
      <c r="P61" s="13">
        <v>9131491</v>
      </c>
      <c r="Q61" s="65" t="s">
        <v>84</v>
      </c>
      <c r="R61" s="13" t="s">
        <v>85</v>
      </c>
      <c r="S61" s="13" t="s">
        <v>85</v>
      </c>
    </row>
    <row r="62" hidden="1" customHeight="1" spans="1:19">
      <c r="A62" s="18">
        <v>46210</v>
      </c>
      <c r="B62" s="13">
        <v>2022962</v>
      </c>
      <c r="C62" s="13" t="s">
        <v>45</v>
      </c>
      <c r="D62" s="13" t="s">
        <v>181</v>
      </c>
      <c r="E62" s="13">
        <v>13732989511</v>
      </c>
      <c r="F62" s="13" t="s">
        <v>90</v>
      </c>
      <c r="H62" s="13" t="s">
        <v>81</v>
      </c>
      <c r="I62" s="13" t="s">
        <v>54</v>
      </c>
      <c r="J62" s="13">
        <v>800</v>
      </c>
      <c r="N62" s="13" t="s">
        <v>91</v>
      </c>
      <c r="O62" s="13" t="s">
        <v>182</v>
      </c>
      <c r="P62" s="13">
        <v>9310753</v>
      </c>
      <c r="Q62" s="65" t="s">
        <v>84</v>
      </c>
      <c r="R62" s="13" t="s">
        <v>85</v>
      </c>
      <c r="S62" s="13" t="s">
        <v>85</v>
      </c>
    </row>
    <row r="63" hidden="1" customHeight="1" spans="1:19">
      <c r="A63" s="18">
        <v>46210</v>
      </c>
      <c r="B63" s="13">
        <v>2022963</v>
      </c>
      <c r="C63" s="13" t="s">
        <v>45</v>
      </c>
      <c r="D63" s="13" t="s">
        <v>183</v>
      </c>
      <c r="E63" s="13">
        <v>17779182659</v>
      </c>
      <c r="F63" s="13" t="s">
        <v>90</v>
      </c>
      <c r="H63" s="13" t="s">
        <v>81</v>
      </c>
      <c r="I63" s="13" t="s">
        <v>54</v>
      </c>
      <c r="J63" s="13">
        <v>800</v>
      </c>
      <c r="N63" s="13" t="s">
        <v>82</v>
      </c>
      <c r="O63" s="13" t="s">
        <v>184</v>
      </c>
      <c r="P63" s="13">
        <v>9310754</v>
      </c>
      <c r="Q63" s="65" t="s">
        <v>84</v>
      </c>
      <c r="R63" s="13" t="s">
        <v>85</v>
      </c>
      <c r="S63" s="13" t="s">
        <v>85</v>
      </c>
    </row>
    <row r="64" hidden="1" customHeight="1" spans="1:19">
      <c r="A64" s="18">
        <v>46210</v>
      </c>
      <c r="B64" s="74">
        <v>2022964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 t="s">
        <v>185</v>
      </c>
      <c r="P64" s="74">
        <v>9310755</v>
      </c>
    </row>
    <row r="65" hidden="1" customHeight="1" spans="1:21">
      <c r="A65" s="18">
        <v>46210</v>
      </c>
      <c r="B65" s="13">
        <v>2022965</v>
      </c>
      <c r="C65" s="13" t="s">
        <v>43</v>
      </c>
      <c r="D65" s="13" t="s">
        <v>186</v>
      </c>
      <c r="E65" s="13">
        <v>15870786674</v>
      </c>
      <c r="F65" s="13" t="s">
        <v>80</v>
      </c>
      <c r="H65" s="13" t="s">
        <v>81</v>
      </c>
      <c r="I65" s="13" t="s">
        <v>54</v>
      </c>
      <c r="J65" s="13">
        <v>238</v>
      </c>
      <c r="N65" s="13" t="s">
        <v>82</v>
      </c>
      <c r="O65" s="13" t="s">
        <v>80</v>
      </c>
      <c r="P65" s="13">
        <v>9131492</v>
      </c>
      <c r="Q65" s="65" t="s">
        <v>84</v>
      </c>
      <c r="R65" s="13" t="s">
        <v>85</v>
      </c>
      <c r="S65" s="13" t="s">
        <v>85</v>
      </c>
    </row>
    <row r="66" hidden="1" customHeight="1" spans="1:21">
      <c r="A66" s="18">
        <v>46210</v>
      </c>
      <c r="B66" s="13">
        <v>2022965</v>
      </c>
      <c r="C66" s="13" t="s">
        <v>43</v>
      </c>
      <c r="D66" s="13" t="s">
        <v>187</v>
      </c>
      <c r="E66" s="13">
        <v>15870786674</v>
      </c>
      <c r="F66" s="13" t="s">
        <v>80</v>
      </c>
      <c r="H66" s="13" t="s">
        <v>81</v>
      </c>
      <c r="I66" s="13" t="s">
        <v>54</v>
      </c>
      <c r="J66" s="13">
        <v>300</v>
      </c>
      <c r="N66" s="13" t="s">
        <v>82</v>
      </c>
      <c r="O66" s="13" t="s">
        <v>145</v>
      </c>
      <c r="P66" s="13">
        <v>9131492</v>
      </c>
      <c r="Q66" s="65" t="s">
        <v>84</v>
      </c>
      <c r="R66" s="13" t="s">
        <v>85</v>
      </c>
      <c r="S66" s="13" t="s">
        <v>85</v>
      </c>
    </row>
    <row r="67" hidden="1" customHeight="1" spans="1:21">
      <c r="A67" s="18">
        <v>46210</v>
      </c>
      <c r="B67" s="13">
        <v>2022967</v>
      </c>
      <c r="C67" s="13" t="s">
        <v>43</v>
      </c>
      <c r="D67" s="13" t="s">
        <v>188</v>
      </c>
      <c r="E67" s="13">
        <v>18942321713</v>
      </c>
      <c r="F67" s="13" t="s">
        <v>120</v>
      </c>
      <c r="H67" s="13" t="s">
        <v>81</v>
      </c>
      <c r="I67" s="13" t="s">
        <v>55</v>
      </c>
      <c r="J67" s="13">
        <v>800</v>
      </c>
      <c r="N67" s="13" t="s">
        <v>101</v>
      </c>
      <c r="O67" s="13" t="s">
        <v>189</v>
      </c>
    </row>
    <row r="68" hidden="1" customHeight="1" spans="1:21">
      <c r="A68" s="18">
        <v>46210</v>
      </c>
      <c r="B68" s="13">
        <v>2022966</v>
      </c>
      <c r="C68" s="13" t="s">
        <v>43</v>
      </c>
      <c r="D68" s="13" t="s">
        <v>190</v>
      </c>
      <c r="E68" s="13">
        <v>13307911910</v>
      </c>
      <c r="F68" s="13" t="s">
        <v>191</v>
      </c>
      <c r="H68" s="13" t="s">
        <v>81</v>
      </c>
      <c r="I68" s="13" t="s">
        <v>54</v>
      </c>
      <c r="J68" s="13">
        <v>1314</v>
      </c>
      <c r="N68" s="13" t="s">
        <v>101</v>
      </c>
      <c r="O68" s="13" t="s">
        <v>192</v>
      </c>
      <c r="P68" s="13">
        <v>9131494</v>
      </c>
      <c r="Q68" s="65" t="s">
        <v>84</v>
      </c>
      <c r="R68" s="13" t="s">
        <v>85</v>
      </c>
      <c r="S68" s="13" t="s">
        <v>85</v>
      </c>
    </row>
    <row r="69" hidden="1" customHeight="1" spans="1:21">
      <c r="A69" s="18">
        <v>46210</v>
      </c>
      <c r="C69" s="13" t="s">
        <v>48</v>
      </c>
      <c r="J69" s="13">
        <v>58</v>
      </c>
      <c r="O69" s="13" t="s">
        <v>193</v>
      </c>
    </row>
    <row r="70" hidden="1" customHeight="1" spans="1:21">
      <c r="A70" s="18">
        <v>46210</v>
      </c>
      <c r="C70" s="13" t="s">
        <v>49</v>
      </c>
      <c r="J70" s="13">
        <v>45</v>
      </c>
      <c r="O70" s="13" t="s">
        <v>194</v>
      </c>
    </row>
    <row r="71" hidden="1" customHeight="1" spans="1:21">
      <c r="A71" s="18">
        <v>46210</v>
      </c>
      <c r="C71" s="13" t="s">
        <v>50</v>
      </c>
      <c r="J71" s="13">
        <v>16.9</v>
      </c>
      <c r="O71" s="13" t="s">
        <v>195</v>
      </c>
    </row>
    <row r="72" hidden="1" customHeight="1" spans="1:21">
      <c r="A72" s="18">
        <v>46210</v>
      </c>
      <c r="C72" s="13" t="s">
        <v>51</v>
      </c>
      <c r="J72" s="13">
        <v>249.7</v>
      </c>
      <c r="O72" s="13" t="s">
        <v>196</v>
      </c>
    </row>
    <row r="73" hidden="1" customHeight="1" spans="1:21">
      <c r="A73" s="72">
        <v>46211</v>
      </c>
      <c r="B73" s="13">
        <v>2022968</v>
      </c>
      <c r="C73" s="13" t="s">
        <v>45</v>
      </c>
      <c r="D73" s="13" t="s">
        <v>197</v>
      </c>
      <c r="E73" s="13">
        <v>15270016720</v>
      </c>
      <c r="F73" s="13" t="s">
        <v>90</v>
      </c>
      <c r="H73" s="13" t="s">
        <v>81</v>
      </c>
      <c r="I73" s="13" t="s">
        <v>54</v>
      </c>
      <c r="J73" s="13">
        <v>150</v>
      </c>
      <c r="O73" s="13" t="s">
        <v>198</v>
      </c>
    </row>
    <row r="74" customFormat="1" hidden="1" customHeight="1" spans="1:21">
      <c r="A74" s="18">
        <v>46211</v>
      </c>
      <c r="B74" s="13">
        <v>2022969</v>
      </c>
      <c r="C74" s="13" t="s">
        <v>45</v>
      </c>
      <c r="D74" s="13" t="s">
        <v>199</v>
      </c>
      <c r="E74" s="13">
        <v>15079102938</v>
      </c>
      <c r="F74" s="13" t="s">
        <v>90</v>
      </c>
      <c r="G74" s="13"/>
      <c r="H74" s="13" t="s">
        <v>81</v>
      </c>
      <c r="I74" s="13" t="s">
        <v>54</v>
      </c>
      <c r="J74" s="13">
        <v>150</v>
      </c>
      <c r="K74" s="13"/>
      <c r="L74" s="13"/>
      <c r="M74" s="13"/>
      <c r="N74" s="13"/>
      <c r="O74" s="13" t="s">
        <v>198</v>
      </c>
      <c r="P74" s="13"/>
      <c r="Q74" s="65"/>
      <c r="R74" s="13"/>
      <c r="S74" s="13"/>
      <c r="T74" s="13"/>
      <c r="U74" s="13"/>
    </row>
    <row r="75" s="15" customFormat="1" hidden="1" customHeight="1" spans="1:21">
      <c r="A75" s="18">
        <v>46211</v>
      </c>
      <c r="B75" s="13">
        <v>2022970</v>
      </c>
      <c r="C75" s="13" t="s">
        <v>45</v>
      </c>
      <c r="D75" s="13" t="s">
        <v>200</v>
      </c>
      <c r="E75" s="13">
        <v>13036213610</v>
      </c>
      <c r="F75" s="13" t="s">
        <v>90</v>
      </c>
      <c r="G75" s="13"/>
      <c r="H75" s="13" t="s">
        <v>81</v>
      </c>
      <c r="I75" s="13" t="s">
        <v>54</v>
      </c>
      <c r="J75" s="13">
        <v>150</v>
      </c>
      <c r="K75" s="13"/>
      <c r="L75" s="13"/>
      <c r="M75" s="13"/>
      <c r="N75" s="13"/>
      <c r="O75" s="13" t="s">
        <v>198</v>
      </c>
      <c r="P75" s="13"/>
      <c r="Q75" s="65"/>
      <c r="R75" s="13"/>
      <c r="S75" s="13"/>
      <c r="T75" s="13"/>
      <c r="U75" s="13"/>
    </row>
    <row r="76" hidden="1" customHeight="1" spans="1:21">
      <c r="A76" s="18">
        <v>46211</v>
      </c>
      <c r="B76" s="13">
        <v>2022971</v>
      </c>
      <c r="C76" s="13" t="s">
        <v>45</v>
      </c>
      <c r="D76" s="75" t="s">
        <v>201</v>
      </c>
      <c r="E76" s="13">
        <v>13870618712</v>
      </c>
      <c r="F76" s="13" t="s">
        <v>90</v>
      </c>
      <c r="H76" s="13" t="s">
        <v>81</v>
      </c>
      <c r="I76" s="13" t="s">
        <v>54</v>
      </c>
      <c r="J76" s="13">
        <v>150</v>
      </c>
      <c r="O76" s="13" t="s">
        <v>198</v>
      </c>
    </row>
    <row r="77" hidden="1" customHeight="1" spans="1:21">
      <c r="A77" s="18">
        <v>46211</v>
      </c>
      <c r="B77" s="13">
        <v>2022972</v>
      </c>
      <c r="C77" s="13" t="s">
        <v>45</v>
      </c>
      <c r="D77" s="13" t="s">
        <v>202</v>
      </c>
      <c r="E77" s="13">
        <v>15079043845</v>
      </c>
      <c r="F77" s="13" t="s">
        <v>90</v>
      </c>
      <c r="H77" s="13" t="s">
        <v>81</v>
      </c>
      <c r="I77" s="13" t="s">
        <v>54</v>
      </c>
      <c r="J77" s="13">
        <v>150</v>
      </c>
      <c r="O77" s="13" t="s">
        <v>198</v>
      </c>
    </row>
    <row r="78" hidden="1" customHeight="1" spans="1:21">
      <c r="A78" s="18">
        <v>46211</v>
      </c>
      <c r="B78" s="13">
        <v>3332881</v>
      </c>
      <c r="C78" s="13" t="s">
        <v>45</v>
      </c>
      <c r="D78" s="75" t="s">
        <v>203</v>
      </c>
      <c r="E78" s="13">
        <v>18000206627</v>
      </c>
      <c r="F78" s="13" t="s">
        <v>90</v>
      </c>
      <c r="H78" s="13" t="s">
        <v>81</v>
      </c>
      <c r="I78" s="13" t="s">
        <v>54</v>
      </c>
      <c r="J78" s="13">
        <v>150</v>
      </c>
      <c r="O78" s="13" t="s">
        <v>198</v>
      </c>
    </row>
    <row r="79" hidden="1" customHeight="1" spans="1:21">
      <c r="A79" s="18">
        <v>46211</v>
      </c>
      <c r="B79" s="13">
        <v>3332882</v>
      </c>
      <c r="C79" s="13" t="s">
        <v>45</v>
      </c>
      <c r="D79" s="76" t="s">
        <v>204</v>
      </c>
      <c r="E79" s="13">
        <v>15979016520</v>
      </c>
      <c r="F79" s="13" t="s">
        <v>90</v>
      </c>
      <c r="H79" s="13" t="s">
        <v>81</v>
      </c>
      <c r="I79" s="13" t="s">
        <v>54</v>
      </c>
      <c r="J79" s="13">
        <v>150</v>
      </c>
      <c r="O79" s="13" t="s">
        <v>198</v>
      </c>
    </row>
    <row r="80" hidden="1" customHeight="1" spans="1:21">
      <c r="A80" s="18">
        <v>46211</v>
      </c>
      <c r="B80" s="13">
        <v>2022973</v>
      </c>
      <c r="C80" s="13" t="s">
        <v>45</v>
      </c>
      <c r="D80" s="76" t="s">
        <v>205</v>
      </c>
      <c r="E80" s="13">
        <v>18162202838</v>
      </c>
      <c r="F80" s="13" t="s">
        <v>90</v>
      </c>
      <c r="H80" s="13" t="s">
        <v>81</v>
      </c>
      <c r="I80" s="13" t="s">
        <v>54</v>
      </c>
      <c r="J80" s="13">
        <v>150</v>
      </c>
      <c r="O80" s="13" t="s">
        <v>198</v>
      </c>
    </row>
    <row r="81" hidden="1" customHeight="1" spans="1:21">
      <c r="A81" s="18">
        <v>46211</v>
      </c>
      <c r="B81" s="13">
        <v>2022974</v>
      </c>
      <c r="C81" s="13" t="s">
        <v>45</v>
      </c>
      <c r="D81" s="76" t="s">
        <v>206</v>
      </c>
      <c r="E81" s="13">
        <v>15899921591</v>
      </c>
      <c r="F81" s="13" t="s">
        <v>90</v>
      </c>
      <c r="H81" s="13" t="s">
        <v>81</v>
      </c>
      <c r="I81" s="13" t="s">
        <v>54</v>
      </c>
      <c r="J81" s="13">
        <v>150</v>
      </c>
      <c r="O81" s="13" t="s">
        <v>198</v>
      </c>
    </row>
    <row r="82" hidden="1" customHeight="1" spans="1:21">
      <c r="A82" s="18">
        <v>46211</v>
      </c>
      <c r="B82" s="13">
        <v>2022975</v>
      </c>
      <c r="C82" s="13" t="s">
        <v>45</v>
      </c>
      <c r="D82" s="77" t="s">
        <v>207</v>
      </c>
      <c r="E82" s="13">
        <v>13732927045</v>
      </c>
      <c r="F82" s="13" t="s">
        <v>90</v>
      </c>
      <c r="H82" s="13" t="s">
        <v>81</v>
      </c>
      <c r="I82" s="13" t="s">
        <v>54</v>
      </c>
      <c r="J82" s="13">
        <v>150</v>
      </c>
      <c r="O82" s="13" t="s">
        <v>198</v>
      </c>
    </row>
    <row r="83" s="15" customFormat="1" hidden="1" customHeight="1" spans="1:21">
      <c r="A83" s="18">
        <v>46211</v>
      </c>
      <c r="B83" s="13">
        <v>2022976</v>
      </c>
      <c r="C83" s="13" t="s">
        <v>45</v>
      </c>
      <c r="D83" s="76" t="s">
        <v>208</v>
      </c>
      <c r="E83" s="21">
        <v>18870048320</v>
      </c>
      <c r="F83" s="13" t="s">
        <v>90</v>
      </c>
      <c r="G83" s="13"/>
      <c r="H83" s="13" t="s">
        <v>81</v>
      </c>
      <c r="I83" s="13" t="s">
        <v>54</v>
      </c>
      <c r="J83" s="13">
        <v>150</v>
      </c>
      <c r="K83" s="13"/>
      <c r="L83" s="13"/>
      <c r="M83" s="13"/>
      <c r="N83" s="13"/>
      <c r="O83" s="13" t="s">
        <v>198</v>
      </c>
      <c r="P83" s="13"/>
      <c r="Q83" s="65"/>
      <c r="R83" s="13"/>
      <c r="S83" s="13"/>
      <c r="T83" s="13"/>
      <c r="U83" s="13"/>
    </row>
    <row r="84" hidden="1" customHeight="1" spans="1:21">
      <c r="A84" s="18">
        <v>46211</v>
      </c>
      <c r="B84" s="13">
        <v>3332883</v>
      </c>
      <c r="C84" s="13" t="s">
        <v>45</v>
      </c>
      <c r="D84" s="76" t="s">
        <v>209</v>
      </c>
      <c r="E84" s="13">
        <v>17807039939</v>
      </c>
      <c r="F84" s="13" t="s">
        <v>90</v>
      </c>
      <c r="H84" s="13" t="s">
        <v>81</v>
      </c>
      <c r="I84" s="13" t="s">
        <v>54</v>
      </c>
      <c r="J84" s="13">
        <v>150</v>
      </c>
      <c r="O84" s="13" t="s">
        <v>198</v>
      </c>
    </row>
    <row r="85" hidden="1" customHeight="1" spans="1:21">
      <c r="A85" s="18">
        <v>46211</v>
      </c>
      <c r="B85" s="13">
        <v>3332884</v>
      </c>
      <c r="C85" s="13" t="s">
        <v>45</v>
      </c>
      <c r="D85" s="76" t="s">
        <v>210</v>
      </c>
      <c r="E85" s="13">
        <v>15070900165</v>
      </c>
      <c r="F85" s="13" t="s">
        <v>90</v>
      </c>
      <c r="H85" s="13" t="s">
        <v>81</v>
      </c>
      <c r="I85" s="13" t="s">
        <v>54</v>
      </c>
      <c r="J85" s="13">
        <v>150</v>
      </c>
      <c r="O85" s="13" t="s">
        <v>211</v>
      </c>
    </row>
    <row r="86" hidden="1" customHeight="1" spans="1:21">
      <c r="A86" s="18">
        <v>46211</v>
      </c>
      <c r="B86" s="13">
        <v>3332885</v>
      </c>
      <c r="C86" s="13" t="s">
        <v>45</v>
      </c>
      <c r="D86" s="75" t="s">
        <v>212</v>
      </c>
      <c r="E86" s="21">
        <v>13807065455</v>
      </c>
      <c r="F86" s="13" t="s">
        <v>90</v>
      </c>
      <c r="H86" s="13" t="s">
        <v>81</v>
      </c>
      <c r="I86" s="13" t="s">
        <v>54</v>
      </c>
      <c r="J86" s="13">
        <v>150</v>
      </c>
      <c r="O86" s="13" t="s">
        <v>198</v>
      </c>
    </row>
    <row r="87" hidden="1" customHeight="1" spans="1:21">
      <c r="A87" s="18">
        <v>46211</v>
      </c>
      <c r="B87" s="13">
        <v>3332886</v>
      </c>
      <c r="C87" s="13" t="s">
        <v>45</v>
      </c>
      <c r="D87" s="76" t="s">
        <v>213</v>
      </c>
      <c r="E87" s="13">
        <v>15879183893</v>
      </c>
      <c r="F87" s="13" t="s">
        <v>90</v>
      </c>
      <c r="H87" s="13" t="s">
        <v>81</v>
      </c>
      <c r="I87" s="13" t="s">
        <v>54</v>
      </c>
      <c r="J87" s="13">
        <v>150</v>
      </c>
      <c r="O87" s="13" t="s">
        <v>211</v>
      </c>
    </row>
    <row r="88" hidden="1" customHeight="1" spans="1:21">
      <c r="A88" s="18">
        <v>46211</v>
      </c>
      <c r="B88" s="13">
        <v>3332887</v>
      </c>
      <c r="C88" s="13" t="s">
        <v>45</v>
      </c>
      <c r="D88" s="76" t="s">
        <v>214</v>
      </c>
      <c r="E88" s="13">
        <v>13336986530</v>
      </c>
      <c r="F88" s="13" t="s">
        <v>90</v>
      </c>
      <c r="H88" s="13" t="s">
        <v>81</v>
      </c>
      <c r="I88" s="13" t="s">
        <v>54</v>
      </c>
      <c r="J88" s="13">
        <v>150</v>
      </c>
      <c r="O88" s="13" t="s">
        <v>198</v>
      </c>
    </row>
    <row r="89" hidden="1" customHeight="1" spans="1:21">
      <c r="A89" s="18">
        <v>46211</v>
      </c>
      <c r="B89" s="13">
        <v>2022977</v>
      </c>
      <c r="C89" s="13" t="s">
        <v>45</v>
      </c>
      <c r="D89" s="76" t="s">
        <v>215</v>
      </c>
      <c r="E89" s="13">
        <v>18979191333</v>
      </c>
      <c r="F89" s="13" t="s">
        <v>90</v>
      </c>
      <c r="H89" s="13" t="s">
        <v>81</v>
      </c>
      <c r="I89" s="13" t="s">
        <v>54</v>
      </c>
      <c r="J89" s="13">
        <v>150</v>
      </c>
      <c r="O89" s="13" t="s">
        <v>216</v>
      </c>
    </row>
    <row r="90" hidden="1" customHeight="1" spans="1:21">
      <c r="A90" s="18">
        <v>46211</v>
      </c>
      <c r="B90" s="13">
        <v>2022978</v>
      </c>
      <c r="C90" s="13" t="s">
        <v>45</v>
      </c>
      <c r="D90" s="76" t="s">
        <v>217</v>
      </c>
      <c r="E90" s="13">
        <v>18279196061</v>
      </c>
      <c r="F90" s="13" t="s">
        <v>90</v>
      </c>
      <c r="H90" s="13" t="s">
        <v>81</v>
      </c>
      <c r="I90" s="13" t="s">
        <v>54</v>
      </c>
      <c r="J90" s="13">
        <v>150</v>
      </c>
      <c r="O90" s="13" t="s">
        <v>198</v>
      </c>
    </row>
    <row r="91" s="15" customFormat="1" hidden="1" customHeight="1" spans="1:21">
      <c r="A91" s="18">
        <v>46211</v>
      </c>
      <c r="B91" s="13">
        <v>2022979</v>
      </c>
      <c r="C91" s="13" t="s">
        <v>45</v>
      </c>
      <c r="D91" s="76" t="s">
        <v>218</v>
      </c>
      <c r="E91" s="13">
        <v>15270035971</v>
      </c>
      <c r="F91" s="13" t="s">
        <v>90</v>
      </c>
      <c r="G91" s="13"/>
      <c r="H91" s="13" t="s">
        <v>81</v>
      </c>
      <c r="I91" s="13" t="s">
        <v>54</v>
      </c>
      <c r="J91" s="13">
        <v>150</v>
      </c>
      <c r="K91" s="13"/>
      <c r="L91" s="13"/>
      <c r="M91" s="13"/>
      <c r="N91" s="13"/>
      <c r="O91" s="13" t="s">
        <v>219</v>
      </c>
      <c r="P91" s="78"/>
      <c r="Q91" s="65"/>
      <c r="R91" s="13"/>
      <c r="S91" s="13"/>
      <c r="T91" s="13"/>
      <c r="U91" s="13"/>
    </row>
    <row r="92" hidden="1" customHeight="1" spans="1:21">
      <c r="A92" s="18">
        <v>46211</v>
      </c>
      <c r="B92" s="13">
        <v>3332888</v>
      </c>
      <c r="C92" s="13" t="s">
        <v>45</v>
      </c>
      <c r="D92" s="77" t="s">
        <v>220</v>
      </c>
      <c r="E92" s="13">
        <v>15979153340</v>
      </c>
      <c r="F92" s="13" t="s">
        <v>90</v>
      </c>
      <c r="H92" s="13" t="s">
        <v>81</v>
      </c>
      <c r="I92" s="13" t="s">
        <v>54</v>
      </c>
      <c r="J92" s="13">
        <v>150</v>
      </c>
      <c r="O92" s="13" t="s">
        <v>221</v>
      </c>
    </row>
    <row r="93" hidden="1" customHeight="1" spans="1:21">
      <c r="A93" s="18">
        <v>46211</v>
      </c>
      <c r="B93" s="13">
        <v>2022980</v>
      </c>
      <c r="C93" s="13" t="s">
        <v>45</v>
      </c>
      <c r="D93" s="76" t="s">
        <v>222</v>
      </c>
      <c r="E93" s="13">
        <v>15070836920</v>
      </c>
      <c r="F93" s="13" t="s">
        <v>90</v>
      </c>
      <c r="H93" s="13" t="s">
        <v>81</v>
      </c>
      <c r="I93" s="13" t="s">
        <v>54</v>
      </c>
      <c r="J93" s="13">
        <v>150</v>
      </c>
      <c r="O93" s="13" t="s">
        <v>198</v>
      </c>
    </row>
    <row r="94" hidden="1" customHeight="1" spans="1:21">
      <c r="A94" s="18">
        <v>46211</v>
      </c>
      <c r="B94" s="13">
        <v>3332889</v>
      </c>
      <c r="C94" s="13" t="s">
        <v>45</v>
      </c>
      <c r="D94" s="76" t="s">
        <v>223</v>
      </c>
      <c r="E94" s="13">
        <v>18770018505</v>
      </c>
      <c r="F94" s="13" t="s">
        <v>90</v>
      </c>
      <c r="H94" s="13" t="s">
        <v>81</v>
      </c>
      <c r="I94" s="13" t="s">
        <v>54</v>
      </c>
      <c r="J94" s="13">
        <v>150</v>
      </c>
      <c r="O94" s="13" t="s">
        <v>198</v>
      </c>
    </row>
    <row r="95" hidden="1" customHeight="1" spans="1:21">
      <c r="A95" s="18">
        <v>46211</v>
      </c>
      <c r="B95" s="13">
        <v>3332890</v>
      </c>
      <c r="C95" s="13" t="s">
        <v>45</v>
      </c>
      <c r="D95" s="76" t="s">
        <v>224</v>
      </c>
      <c r="E95" s="13">
        <v>18140341290</v>
      </c>
      <c r="F95" s="13" t="s">
        <v>90</v>
      </c>
      <c r="H95" s="13" t="s">
        <v>81</v>
      </c>
      <c r="I95" s="13" t="s">
        <v>54</v>
      </c>
      <c r="J95" s="13">
        <v>150</v>
      </c>
      <c r="O95" s="76" t="s">
        <v>225</v>
      </c>
    </row>
    <row r="96" hidden="1" customHeight="1" spans="1:21">
      <c r="A96" s="18">
        <v>46211</v>
      </c>
      <c r="B96" s="13">
        <v>3332891</v>
      </c>
      <c r="C96" s="13" t="s">
        <v>45</v>
      </c>
      <c r="D96" s="76" t="s">
        <v>226</v>
      </c>
      <c r="E96" s="13">
        <v>15979009565</v>
      </c>
      <c r="F96" s="13" t="s">
        <v>90</v>
      </c>
      <c r="H96" s="13" t="s">
        <v>81</v>
      </c>
      <c r="I96" s="13" t="s">
        <v>54</v>
      </c>
      <c r="J96" s="13">
        <v>150</v>
      </c>
      <c r="O96" s="13" t="s">
        <v>198</v>
      </c>
    </row>
    <row r="97" s="15" customFormat="1" hidden="1" customHeight="1" spans="1:21">
      <c r="A97" s="18">
        <v>46211</v>
      </c>
      <c r="B97" s="13">
        <v>3332892</v>
      </c>
      <c r="C97" s="13" t="s">
        <v>45</v>
      </c>
      <c r="D97" s="79" t="s">
        <v>227</v>
      </c>
      <c r="E97" s="13">
        <v>18970037942</v>
      </c>
      <c r="F97" s="13" t="s">
        <v>90</v>
      </c>
      <c r="G97" s="13"/>
      <c r="H97" s="13" t="s">
        <v>81</v>
      </c>
      <c r="I97" s="13" t="s">
        <v>54</v>
      </c>
      <c r="J97" s="13">
        <v>150</v>
      </c>
      <c r="K97" s="13"/>
      <c r="L97" s="13"/>
      <c r="M97" s="13"/>
      <c r="N97" s="13"/>
      <c r="O97" s="13" t="s">
        <v>198</v>
      </c>
      <c r="P97" s="13"/>
      <c r="Q97" s="65"/>
      <c r="R97" s="13"/>
      <c r="S97" s="13"/>
      <c r="T97" s="13"/>
      <c r="U97" s="13"/>
    </row>
    <row r="98" hidden="1" customHeight="1" spans="1:21">
      <c r="A98" s="18">
        <v>46211</v>
      </c>
      <c r="B98" s="13">
        <v>3332893</v>
      </c>
      <c r="C98" s="13" t="s">
        <v>45</v>
      </c>
      <c r="D98" s="80" t="s">
        <v>228</v>
      </c>
      <c r="E98" s="21">
        <v>13870670610</v>
      </c>
      <c r="F98" s="13" t="s">
        <v>90</v>
      </c>
      <c r="H98" s="13" t="s">
        <v>81</v>
      </c>
      <c r="I98" s="13" t="s">
        <v>55</v>
      </c>
      <c r="J98" s="13">
        <v>150</v>
      </c>
      <c r="O98" s="13" t="s">
        <v>229</v>
      </c>
    </row>
    <row r="99" hidden="1" customHeight="1" spans="1:21">
      <c r="A99" s="18">
        <v>46211</v>
      </c>
      <c r="B99" s="13">
        <v>3332894</v>
      </c>
      <c r="C99" s="13" t="s">
        <v>45</v>
      </c>
      <c r="D99" s="76" t="s">
        <v>230</v>
      </c>
      <c r="E99" s="13">
        <v>13330108092</v>
      </c>
      <c r="F99" s="13" t="s">
        <v>90</v>
      </c>
      <c r="H99" s="13" t="s">
        <v>81</v>
      </c>
      <c r="I99" s="13" t="s">
        <v>54</v>
      </c>
      <c r="J99" s="13">
        <v>150</v>
      </c>
      <c r="O99" s="13" t="s">
        <v>231</v>
      </c>
    </row>
    <row r="100" hidden="1" customHeight="1" spans="1:21">
      <c r="A100" s="18">
        <v>46211</v>
      </c>
      <c r="B100" s="13">
        <v>3332895</v>
      </c>
      <c r="C100" s="13" t="s">
        <v>45</v>
      </c>
      <c r="D100" s="76" t="s">
        <v>232</v>
      </c>
      <c r="E100" s="13">
        <v>13870055256</v>
      </c>
      <c r="F100" s="13" t="s">
        <v>90</v>
      </c>
      <c r="H100" s="13" t="s">
        <v>81</v>
      </c>
      <c r="I100" s="13" t="s">
        <v>54</v>
      </c>
      <c r="J100" s="13">
        <v>150</v>
      </c>
      <c r="O100" s="13" t="s">
        <v>225</v>
      </c>
    </row>
    <row r="101" hidden="1" customHeight="1" spans="1:21">
      <c r="A101" s="18">
        <v>46211</v>
      </c>
      <c r="B101" s="13">
        <v>3332896</v>
      </c>
      <c r="C101" s="13" t="s">
        <v>45</v>
      </c>
      <c r="D101" s="76" t="s">
        <v>233</v>
      </c>
      <c r="E101" s="13">
        <v>15070069309</v>
      </c>
      <c r="F101" s="13" t="s">
        <v>90</v>
      </c>
      <c r="H101" s="13" t="s">
        <v>81</v>
      </c>
      <c r="I101" s="13" t="s">
        <v>54</v>
      </c>
      <c r="J101" s="13">
        <v>150</v>
      </c>
      <c r="O101" s="19" t="s">
        <v>234</v>
      </c>
    </row>
    <row r="102" hidden="1" customHeight="1" spans="1:21">
      <c r="A102" s="18">
        <v>46211</v>
      </c>
      <c r="B102" s="13">
        <v>3332897</v>
      </c>
      <c r="C102" s="13" t="s">
        <v>45</v>
      </c>
      <c r="D102" s="81" t="s">
        <v>235</v>
      </c>
      <c r="E102" s="13">
        <v>15180472947</v>
      </c>
      <c r="F102" s="13" t="s">
        <v>90</v>
      </c>
      <c r="H102" s="13" t="s">
        <v>81</v>
      </c>
      <c r="I102" s="13" t="s">
        <v>54</v>
      </c>
      <c r="J102" s="13">
        <v>150</v>
      </c>
      <c r="O102" s="81" t="s">
        <v>236</v>
      </c>
    </row>
    <row r="103" hidden="1" customHeight="1" spans="1:21">
      <c r="A103" s="18">
        <v>46211</v>
      </c>
      <c r="B103" s="13">
        <v>3332898</v>
      </c>
      <c r="C103" s="13" t="s">
        <v>45</v>
      </c>
      <c r="D103" s="80" t="s">
        <v>237</v>
      </c>
      <c r="E103" s="13">
        <v>13970890486</v>
      </c>
      <c r="F103" s="13" t="s">
        <v>90</v>
      </c>
      <c r="H103" s="13" t="s">
        <v>81</v>
      </c>
      <c r="I103" s="13" t="s">
        <v>54</v>
      </c>
      <c r="J103" s="13">
        <v>150</v>
      </c>
      <c r="O103" s="13" t="s">
        <v>229</v>
      </c>
    </row>
    <row r="104" hidden="1" customHeight="1" spans="1:21">
      <c r="A104" s="18">
        <v>46211</v>
      </c>
      <c r="B104" s="13">
        <v>3332899</v>
      </c>
      <c r="C104" s="13" t="s">
        <v>45</v>
      </c>
      <c r="D104" s="76" t="s">
        <v>238</v>
      </c>
      <c r="E104" s="13">
        <v>18170037159</v>
      </c>
      <c r="F104" s="13" t="s">
        <v>90</v>
      </c>
      <c r="H104" s="13" t="s">
        <v>81</v>
      </c>
      <c r="I104" s="13" t="s">
        <v>55</v>
      </c>
      <c r="J104" s="13">
        <v>150</v>
      </c>
      <c r="O104" s="13" t="s">
        <v>231</v>
      </c>
    </row>
    <row r="105" s="15" customFormat="1" hidden="1" customHeight="1" spans="1:21">
      <c r="A105" s="18">
        <v>46211</v>
      </c>
      <c r="B105" s="13">
        <v>3332900</v>
      </c>
      <c r="C105" s="13" t="s">
        <v>45</v>
      </c>
      <c r="D105" s="81" t="s">
        <v>239</v>
      </c>
      <c r="E105" s="13">
        <v>19917909359</v>
      </c>
      <c r="F105" s="13" t="s">
        <v>90</v>
      </c>
      <c r="G105" s="13"/>
      <c r="H105" s="13" t="s">
        <v>81</v>
      </c>
      <c r="I105" s="13" t="s">
        <v>54</v>
      </c>
      <c r="J105" s="13">
        <v>150</v>
      </c>
      <c r="K105" s="13"/>
      <c r="L105" s="13"/>
      <c r="M105" s="13"/>
      <c r="N105" s="13"/>
      <c r="O105" s="13" t="s">
        <v>240</v>
      </c>
      <c r="P105" s="13"/>
      <c r="Q105" s="65"/>
      <c r="R105" s="13"/>
      <c r="S105" s="13"/>
      <c r="T105" s="65"/>
      <c r="U105" s="13"/>
    </row>
    <row r="106" hidden="1" customHeight="1" spans="1:21">
      <c r="A106" s="18">
        <v>46211</v>
      </c>
      <c r="B106" s="13">
        <v>3332142</v>
      </c>
      <c r="C106" s="13" t="s">
        <v>45</v>
      </c>
      <c r="D106" s="80" t="s">
        <v>241</v>
      </c>
      <c r="E106" s="13">
        <v>13535257113</v>
      </c>
      <c r="F106" s="13" t="s">
        <v>90</v>
      </c>
      <c r="H106" s="13" t="s">
        <v>81</v>
      </c>
      <c r="I106" s="13" t="s">
        <v>54</v>
      </c>
      <c r="J106" s="13">
        <v>150</v>
      </c>
      <c r="O106" s="13" t="s">
        <v>229</v>
      </c>
    </row>
    <row r="107" hidden="1" customHeight="1" spans="1:21">
      <c r="A107" s="18">
        <v>46211</v>
      </c>
      <c r="B107" s="11">
        <v>3332141</v>
      </c>
      <c r="C107" s="13" t="s">
        <v>45</v>
      </c>
      <c r="D107" s="76" t="s">
        <v>242</v>
      </c>
      <c r="E107" s="13">
        <v>18979191560</v>
      </c>
      <c r="F107" s="13" t="s">
        <v>90</v>
      </c>
      <c r="H107" s="13" t="s">
        <v>81</v>
      </c>
      <c r="I107" s="13" t="s">
        <v>54</v>
      </c>
      <c r="J107" s="13">
        <v>150</v>
      </c>
      <c r="O107" s="13" t="s">
        <v>231</v>
      </c>
    </row>
    <row r="108" hidden="1" customHeight="1" spans="1:21">
      <c r="A108" s="18">
        <v>46211</v>
      </c>
      <c r="B108" s="11">
        <v>3332141</v>
      </c>
      <c r="C108" s="13" t="s">
        <v>45</v>
      </c>
      <c r="D108" s="76" t="s">
        <v>243</v>
      </c>
      <c r="E108" s="13">
        <v>18979191560</v>
      </c>
      <c r="F108" s="13" t="s">
        <v>90</v>
      </c>
      <c r="H108" s="13" t="s">
        <v>81</v>
      </c>
      <c r="I108" s="13" t="s">
        <v>54</v>
      </c>
      <c r="J108" s="13">
        <v>150</v>
      </c>
      <c r="O108" s="13" t="s">
        <v>231</v>
      </c>
    </row>
    <row r="109" hidden="1" customHeight="1" spans="1:21">
      <c r="A109" s="18">
        <v>46211</v>
      </c>
      <c r="B109" s="13">
        <v>2122969</v>
      </c>
      <c r="C109" s="13" t="s">
        <v>45</v>
      </c>
      <c r="D109" s="76" t="s">
        <v>244</v>
      </c>
      <c r="E109" s="13">
        <v>18507098902</v>
      </c>
      <c r="F109" s="13" t="s">
        <v>90</v>
      </c>
      <c r="H109" s="13" t="s">
        <v>81</v>
      </c>
      <c r="I109" s="13" t="s">
        <v>54</v>
      </c>
      <c r="J109" s="13">
        <v>150</v>
      </c>
      <c r="O109" s="13" t="s">
        <v>231</v>
      </c>
    </row>
    <row r="110" ht="27" hidden="1" customHeight="1" spans="1:21">
      <c r="A110" s="18">
        <v>46211</v>
      </c>
      <c r="B110" s="13">
        <v>2122970</v>
      </c>
      <c r="C110" s="13" t="s">
        <v>45</v>
      </c>
      <c r="D110" s="76" t="s">
        <v>245</v>
      </c>
      <c r="E110" s="21">
        <v>18070098722</v>
      </c>
      <c r="F110" s="13" t="s">
        <v>90</v>
      </c>
      <c r="H110" s="13" t="s">
        <v>81</v>
      </c>
      <c r="I110" s="13" t="s">
        <v>54</v>
      </c>
      <c r="J110" s="13">
        <v>150</v>
      </c>
      <c r="O110" s="13" t="s">
        <v>231</v>
      </c>
    </row>
    <row r="111" ht="27" hidden="1" customHeight="1" spans="1:21">
      <c r="A111" s="18">
        <v>46211</v>
      </c>
      <c r="B111" s="13">
        <v>2122971</v>
      </c>
      <c r="C111" s="13" t="s">
        <v>45</v>
      </c>
      <c r="D111" s="82" t="s">
        <v>246</v>
      </c>
      <c r="E111" s="21">
        <v>17370061170</v>
      </c>
      <c r="F111" s="13" t="s">
        <v>90</v>
      </c>
      <c r="H111" s="13" t="s">
        <v>81</v>
      </c>
      <c r="I111" s="13" t="s">
        <v>54</v>
      </c>
      <c r="J111" s="13">
        <v>150</v>
      </c>
      <c r="O111" s="13" t="s">
        <v>198</v>
      </c>
    </row>
    <row r="112" hidden="1" customHeight="1" spans="1:21">
      <c r="A112" s="18">
        <v>46211</v>
      </c>
      <c r="B112" s="13">
        <v>2122972</v>
      </c>
      <c r="C112" s="13" t="s">
        <v>45</v>
      </c>
      <c r="D112" s="76" t="s">
        <v>247</v>
      </c>
      <c r="E112" s="13">
        <v>19970072876</v>
      </c>
      <c r="F112" s="13" t="s">
        <v>90</v>
      </c>
      <c r="H112" s="13" t="s">
        <v>81</v>
      </c>
      <c r="I112" s="13" t="s">
        <v>54</v>
      </c>
      <c r="J112" s="13">
        <v>150</v>
      </c>
      <c r="O112" s="13" t="s">
        <v>231</v>
      </c>
    </row>
    <row r="113" hidden="1" customHeight="1" spans="1:21">
      <c r="A113" s="18">
        <v>46211</v>
      </c>
      <c r="B113" s="13">
        <v>3332143</v>
      </c>
      <c r="C113" s="13" t="s">
        <v>45</v>
      </c>
      <c r="D113" s="76" t="s">
        <v>248</v>
      </c>
      <c r="E113" s="13">
        <v>13979583291</v>
      </c>
      <c r="F113" s="13" t="s">
        <v>90</v>
      </c>
      <c r="H113" s="13" t="s">
        <v>81</v>
      </c>
      <c r="I113" s="13" t="s">
        <v>54</v>
      </c>
      <c r="J113" s="13">
        <v>150</v>
      </c>
      <c r="O113" s="13" t="s">
        <v>225</v>
      </c>
    </row>
    <row r="114" hidden="1" customHeight="1" spans="1:21">
      <c r="A114" s="18">
        <v>46211</v>
      </c>
      <c r="B114" s="13">
        <v>2122973</v>
      </c>
      <c r="C114" s="13" t="s">
        <v>45</v>
      </c>
      <c r="D114" s="82" t="s">
        <v>249</v>
      </c>
      <c r="E114" s="13">
        <v>15970616407</v>
      </c>
      <c r="F114" s="13" t="s">
        <v>90</v>
      </c>
      <c r="H114" s="13" t="s">
        <v>81</v>
      </c>
      <c r="I114" s="13" t="s">
        <v>55</v>
      </c>
      <c r="J114" s="13">
        <v>150</v>
      </c>
      <c r="O114" s="13" t="s">
        <v>231</v>
      </c>
    </row>
    <row r="115" hidden="1" customHeight="1" spans="1:21">
      <c r="A115" s="18">
        <v>46211</v>
      </c>
      <c r="B115" s="13">
        <v>3332144</v>
      </c>
      <c r="C115" s="13" t="s">
        <v>45</v>
      </c>
      <c r="D115" s="80" t="s">
        <v>250</v>
      </c>
      <c r="E115" s="13">
        <v>15070076275</v>
      </c>
      <c r="F115" s="13" t="s">
        <v>90</v>
      </c>
      <c r="H115" s="13" t="s">
        <v>81</v>
      </c>
      <c r="I115" s="13" t="s">
        <v>57</v>
      </c>
      <c r="J115" s="13">
        <v>150</v>
      </c>
      <c r="O115" s="81" t="s">
        <v>251</v>
      </c>
    </row>
    <row r="116" hidden="1" customHeight="1" spans="1:21">
      <c r="A116" s="18">
        <v>46211</v>
      </c>
      <c r="B116" s="11">
        <v>3332145</v>
      </c>
      <c r="C116" s="13" t="s">
        <v>45</v>
      </c>
      <c r="D116" s="76" t="s">
        <v>252</v>
      </c>
      <c r="E116" s="13">
        <v>17307093379</v>
      </c>
      <c r="F116" s="13" t="s">
        <v>90</v>
      </c>
      <c r="H116" s="13" t="s">
        <v>81</v>
      </c>
      <c r="I116" s="13" t="s">
        <v>54</v>
      </c>
      <c r="J116" s="13">
        <v>150</v>
      </c>
      <c r="O116" s="19" t="s">
        <v>253</v>
      </c>
    </row>
    <row r="117" hidden="1" customHeight="1" spans="1:21">
      <c r="A117" s="18">
        <v>46211</v>
      </c>
      <c r="B117" s="11">
        <v>3332145</v>
      </c>
      <c r="C117" s="13" t="s">
        <v>45</v>
      </c>
      <c r="D117" s="76" t="s">
        <v>254</v>
      </c>
      <c r="E117" s="13">
        <v>17307093379</v>
      </c>
      <c r="F117" s="13" t="s">
        <v>90</v>
      </c>
      <c r="H117" s="13" t="s">
        <v>81</v>
      </c>
      <c r="I117" s="13" t="s">
        <v>54</v>
      </c>
      <c r="J117" s="13">
        <v>150</v>
      </c>
      <c r="O117" s="19" t="s">
        <v>253</v>
      </c>
    </row>
    <row r="118" s="15" customFormat="1" hidden="1" customHeight="1" spans="1:21">
      <c r="A118" s="18">
        <v>46211</v>
      </c>
      <c r="B118" s="13">
        <v>3332146</v>
      </c>
      <c r="C118" s="13" t="s">
        <v>45</v>
      </c>
      <c r="D118" s="76" t="s">
        <v>255</v>
      </c>
      <c r="E118" s="13">
        <v>13870670674</v>
      </c>
      <c r="F118" s="13" t="s">
        <v>90</v>
      </c>
      <c r="G118" s="13"/>
      <c r="H118" s="13" t="s">
        <v>81</v>
      </c>
      <c r="I118" s="13" t="s">
        <v>54</v>
      </c>
      <c r="J118" s="13">
        <v>150</v>
      </c>
      <c r="K118" s="13"/>
      <c r="L118" s="13"/>
      <c r="M118" s="13"/>
      <c r="N118" s="13"/>
      <c r="O118" s="13" t="s">
        <v>231</v>
      </c>
      <c r="P118" s="13"/>
      <c r="Q118" s="65"/>
      <c r="R118" s="13"/>
      <c r="S118" s="13"/>
      <c r="T118" s="13"/>
      <c r="U118" s="13"/>
    </row>
    <row r="119" hidden="1" customHeight="1" spans="1:21">
      <c r="A119" s="18">
        <v>46211</v>
      </c>
      <c r="B119" s="13">
        <v>2122974</v>
      </c>
      <c r="C119" s="13" t="s">
        <v>45</v>
      </c>
      <c r="D119" s="75" t="s">
        <v>256</v>
      </c>
      <c r="E119" s="13">
        <v>15179158197</v>
      </c>
      <c r="F119" s="13" t="s">
        <v>90</v>
      </c>
      <c r="H119" s="13" t="s">
        <v>81</v>
      </c>
      <c r="I119" s="13" t="s">
        <v>54</v>
      </c>
      <c r="J119" s="13">
        <v>150</v>
      </c>
      <c r="O119" s="13" t="s">
        <v>198</v>
      </c>
    </row>
    <row r="120" hidden="1" customHeight="1" spans="1:21">
      <c r="A120" s="18">
        <v>46211</v>
      </c>
      <c r="B120" s="13">
        <v>3332147</v>
      </c>
      <c r="C120" s="13" t="s">
        <v>45</v>
      </c>
      <c r="D120" s="82" t="s">
        <v>257</v>
      </c>
      <c r="E120" s="13">
        <v>15070032639</v>
      </c>
      <c r="F120" s="13" t="s">
        <v>90</v>
      </c>
      <c r="H120" s="13" t="s">
        <v>81</v>
      </c>
      <c r="I120" s="13" t="s">
        <v>54</v>
      </c>
      <c r="J120" s="13">
        <v>150</v>
      </c>
      <c r="O120" s="81" t="s">
        <v>258</v>
      </c>
    </row>
    <row r="121" hidden="1" customHeight="1" spans="1:21">
      <c r="A121" s="18">
        <v>46211</v>
      </c>
      <c r="B121" s="11">
        <v>2122975</v>
      </c>
      <c r="C121" s="13" t="s">
        <v>43</v>
      </c>
      <c r="D121" s="13" t="s">
        <v>246</v>
      </c>
      <c r="E121" s="13">
        <v>17370061170</v>
      </c>
      <c r="F121" s="13" t="s">
        <v>120</v>
      </c>
      <c r="H121" s="13" t="s">
        <v>81</v>
      </c>
      <c r="I121" s="13" t="s">
        <v>54</v>
      </c>
      <c r="J121" s="13">
        <v>688</v>
      </c>
      <c r="N121" s="13" t="s">
        <v>82</v>
      </c>
      <c r="O121" s="19" t="s">
        <v>259</v>
      </c>
      <c r="P121" s="13">
        <v>9131493</v>
      </c>
      <c r="Q121" s="65" t="s">
        <v>84</v>
      </c>
      <c r="R121" s="13" t="s">
        <v>85</v>
      </c>
      <c r="S121" s="13" t="s">
        <v>85</v>
      </c>
    </row>
    <row r="122" s="15" customFormat="1" hidden="1" customHeight="1" spans="1:21">
      <c r="A122" s="18">
        <v>46211</v>
      </c>
      <c r="B122" s="11">
        <v>2122975</v>
      </c>
      <c r="C122" s="13" t="s">
        <v>43</v>
      </c>
      <c r="D122" s="13" t="s">
        <v>260</v>
      </c>
      <c r="E122" s="13">
        <v>17370061170</v>
      </c>
      <c r="F122" s="13" t="s">
        <v>120</v>
      </c>
      <c r="G122" s="13"/>
      <c r="H122" s="13" t="s">
        <v>81</v>
      </c>
      <c r="I122" s="13" t="s">
        <v>54</v>
      </c>
      <c r="J122" s="13">
        <v>800</v>
      </c>
      <c r="K122" s="13"/>
      <c r="L122" s="13"/>
      <c r="M122" s="13"/>
      <c r="N122" s="13" t="s">
        <v>82</v>
      </c>
      <c r="O122" s="19" t="s">
        <v>261</v>
      </c>
      <c r="P122" s="13">
        <v>9131495</v>
      </c>
      <c r="Q122" s="65" t="s">
        <v>84</v>
      </c>
      <c r="R122" s="13" t="s">
        <v>85</v>
      </c>
      <c r="S122" s="13" t="s">
        <v>85</v>
      </c>
      <c r="T122" s="13"/>
      <c r="U122" s="13"/>
    </row>
    <row r="123" s="15" customFormat="1" hidden="1" customHeight="1" spans="1:21">
      <c r="A123" s="18">
        <v>46211</v>
      </c>
      <c r="B123" s="13">
        <v>2122976</v>
      </c>
      <c r="C123" s="13" t="s">
        <v>45</v>
      </c>
      <c r="D123" s="76" t="s">
        <v>262</v>
      </c>
      <c r="E123" s="13">
        <v>13687085699</v>
      </c>
      <c r="F123" s="13" t="s">
        <v>90</v>
      </c>
      <c r="G123" s="13"/>
      <c r="H123" s="13" t="s">
        <v>81</v>
      </c>
      <c r="I123" s="13" t="s">
        <v>54</v>
      </c>
      <c r="J123" s="13">
        <v>150</v>
      </c>
      <c r="K123" s="13"/>
      <c r="L123" s="13"/>
      <c r="M123" s="13"/>
      <c r="N123" s="13"/>
      <c r="O123" s="19" t="s">
        <v>234</v>
      </c>
      <c r="P123" s="13"/>
      <c r="Q123" s="65"/>
      <c r="R123" s="13"/>
      <c r="S123" s="13"/>
      <c r="T123" s="13"/>
      <c r="U123" s="13"/>
    </row>
    <row r="124" hidden="1" customHeight="1" spans="1:21">
      <c r="A124" s="18">
        <v>46211</v>
      </c>
      <c r="B124" s="13">
        <v>2122977</v>
      </c>
      <c r="C124" s="13" t="s">
        <v>43</v>
      </c>
      <c r="D124" s="13" t="s">
        <v>263</v>
      </c>
      <c r="E124" s="13">
        <v>15879147271</v>
      </c>
      <c r="F124" s="13" t="s">
        <v>120</v>
      </c>
      <c r="H124" s="13" t="s">
        <v>81</v>
      </c>
      <c r="I124" s="13" t="s">
        <v>54</v>
      </c>
      <c r="J124" s="13">
        <v>1000</v>
      </c>
      <c r="N124" s="13" t="s">
        <v>91</v>
      </c>
      <c r="O124" s="13" t="s">
        <v>120</v>
      </c>
      <c r="P124" s="13">
        <v>9131499</v>
      </c>
      <c r="Q124" s="65" t="s">
        <v>84</v>
      </c>
      <c r="R124" s="13" t="s">
        <v>85</v>
      </c>
      <c r="S124" s="13" t="s">
        <v>85</v>
      </c>
    </row>
    <row r="125" hidden="1" customHeight="1" spans="1:21">
      <c r="A125" s="18">
        <v>46211</v>
      </c>
      <c r="B125" s="13">
        <v>2122978</v>
      </c>
      <c r="C125" s="13" t="s">
        <v>43</v>
      </c>
      <c r="D125" s="13" t="s">
        <v>264</v>
      </c>
      <c r="E125" s="21">
        <v>13687092717</v>
      </c>
      <c r="F125" s="13" t="s">
        <v>265</v>
      </c>
      <c r="H125" s="13" t="s">
        <v>81</v>
      </c>
      <c r="I125" s="13" t="s">
        <v>54</v>
      </c>
      <c r="J125" s="13">
        <v>1280</v>
      </c>
      <c r="N125" s="13" t="s">
        <v>266</v>
      </c>
      <c r="O125" s="19" t="s">
        <v>267</v>
      </c>
      <c r="P125" s="13">
        <v>9131498</v>
      </c>
      <c r="Q125" s="65" t="s">
        <v>84</v>
      </c>
      <c r="R125" s="13" t="s">
        <v>85</v>
      </c>
      <c r="S125" s="13" t="s">
        <v>85</v>
      </c>
    </row>
    <row r="126" hidden="1" customHeight="1" spans="1:21">
      <c r="A126" s="18">
        <v>46211</v>
      </c>
      <c r="B126" s="13">
        <v>3332148</v>
      </c>
      <c r="C126" s="13" t="s">
        <v>43</v>
      </c>
      <c r="D126" s="13" t="s">
        <v>268</v>
      </c>
      <c r="E126" s="21">
        <v>18121376932</v>
      </c>
      <c r="F126" s="13" t="s">
        <v>80</v>
      </c>
      <c r="H126" s="13" t="s">
        <v>81</v>
      </c>
      <c r="I126" s="13" t="s">
        <v>54</v>
      </c>
      <c r="J126" s="13">
        <v>300</v>
      </c>
      <c r="N126" s="13" t="s">
        <v>161</v>
      </c>
      <c r="O126" s="19" t="s">
        <v>98</v>
      </c>
      <c r="P126" s="13">
        <v>9131500</v>
      </c>
      <c r="Q126" s="65" t="s">
        <v>84</v>
      </c>
      <c r="R126" s="13" t="s">
        <v>85</v>
      </c>
      <c r="S126" s="13" t="s">
        <v>85</v>
      </c>
    </row>
    <row r="127" hidden="1" customHeight="1" spans="1:21">
      <c r="A127" s="18">
        <v>46211</v>
      </c>
      <c r="B127" s="13">
        <v>2122980</v>
      </c>
      <c r="C127" s="13" t="s">
        <v>43</v>
      </c>
      <c r="D127" s="13" t="s">
        <v>269</v>
      </c>
      <c r="E127" s="13">
        <v>13755797156</v>
      </c>
      <c r="F127" s="13" t="s">
        <v>80</v>
      </c>
      <c r="H127" s="13" t="s">
        <v>81</v>
      </c>
      <c r="I127" s="13" t="s">
        <v>54</v>
      </c>
      <c r="J127" s="13">
        <v>200</v>
      </c>
      <c r="N127" s="13" t="s">
        <v>91</v>
      </c>
      <c r="O127" s="19" t="s">
        <v>80</v>
      </c>
      <c r="P127" s="13">
        <v>9131497</v>
      </c>
      <c r="Q127" s="65" t="s">
        <v>84</v>
      </c>
      <c r="R127" s="13" t="s">
        <v>85</v>
      </c>
      <c r="S127" s="13" t="s">
        <v>85</v>
      </c>
    </row>
    <row r="128" hidden="1" customHeight="1" spans="1:21">
      <c r="A128" s="18">
        <v>46211</v>
      </c>
      <c r="B128" s="13">
        <v>2122979</v>
      </c>
      <c r="C128" s="13" t="s">
        <v>43</v>
      </c>
      <c r="D128" s="13" t="s">
        <v>270</v>
      </c>
      <c r="E128" s="21">
        <v>18170098181</v>
      </c>
      <c r="F128" s="13" t="s">
        <v>80</v>
      </c>
      <c r="H128" s="13" t="s">
        <v>81</v>
      </c>
      <c r="I128" s="13" t="s">
        <v>54</v>
      </c>
      <c r="J128" s="13">
        <v>400</v>
      </c>
      <c r="N128" s="13" t="s">
        <v>91</v>
      </c>
      <c r="O128" s="19" t="s">
        <v>271</v>
      </c>
      <c r="P128" s="13">
        <v>9131496</v>
      </c>
      <c r="Q128" s="65" t="s">
        <v>84</v>
      </c>
      <c r="R128" s="13" t="s">
        <v>85</v>
      </c>
      <c r="S128" s="13" t="s">
        <v>85</v>
      </c>
    </row>
    <row r="129" s="15" customFormat="1" hidden="1" customHeight="1" spans="1:21">
      <c r="A129" s="18">
        <v>46211</v>
      </c>
      <c r="B129" s="13">
        <v>3332904</v>
      </c>
      <c r="C129" s="13" t="s">
        <v>43</v>
      </c>
      <c r="D129" s="13" t="s">
        <v>272</v>
      </c>
      <c r="E129" s="13">
        <v>15079070357</v>
      </c>
      <c r="F129" s="13" t="s">
        <v>80</v>
      </c>
      <c r="G129" s="13"/>
      <c r="H129" s="13" t="s">
        <v>81</v>
      </c>
      <c r="I129" s="13" t="s">
        <v>54</v>
      </c>
      <c r="J129" s="13">
        <v>400</v>
      </c>
      <c r="K129" s="13"/>
      <c r="L129" s="13"/>
      <c r="M129" s="13"/>
      <c r="N129" s="13" t="s">
        <v>101</v>
      </c>
      <c r="O129" s="19" t="s">
        <v>273</v>
      </c>
      <c r="P129" s="13">
        <v>9131441</v>
      </c>
      <c r="Q129" s="65" t="s">
        <v>84</v>
      </c>
      <c r="R129" s="13" t="s">
        <v>85</v>
      </c>
      <c r="S129" s="13" t="s">
        <v>85</v>
      </c>
      <c r="T129" s="13"/>
      <c r="U129" s="13"/>
    </row>
    <row r="130" hidden="1" customHeight="1" spans="1:21">
      <c r="A130" s="18">
        <v>46211</v>
      </c>
      <c r="B130" s="13">
        <v>3332150</v>
      </c>
      <c r="C130" s="13" t="s">
        <v>45</v>
      </c>
      <c r="D130" s="76" t="s">
        <v>274</v>
      </c>
      <c r="E130" s="13">
        <v>18679126168</v>
      </c>
      <c r="F130" s="13" t="s">
        <v>90</v>
      </c>
      <c r="H130" s="13" t="s">
        <v>81</v>
      </c>
      <c r="I130" s="13" t="s">
        <v>54</v>
      </c>
      <c r="J130" s="13">
        <v>150</v>
      </c>
      <c r="O130" s="13" t="s">
        <v>198</v>
      </c>
    </row>
    <row r="131" s="15" customFormat="1" hidden="1" customHeight="1" spans="1:21">
      <c r="A131" s="18">
        <v>46211</v>
      </c>
      <c r="B131" s="13">
        <v>3332151</v>
      </c>
      <c r="C131" s="13" t="s">
        <v>43</v>
      </c>
      <c r="D131" s="13" t="s">
        <v>275</v>
      </c>
      <c r="E131" s="13">
        <v>13027239037</v>
      </c>
      <c r="F131" s="13" t="s">
        <v>80</v>
      </c>
      <c r="G131" s="13"/>
      <c r="H131" s="13" t="s">
        <v>81</v>
      </c>
      <c r="I131" s="13" t="s">
        <v>54</v>
      </c>
      <c r="J131" s="13">
        <v>450</v>
      </c>
      <c r="K131" s="13"/>
      <c r="L131" s="13"/>
      <c r="M131" s="13"/>
      <c r="N131" s="13" t="s">
        <v>82</v>
      </c>
      <c r="O131" s="19" t="s">
        <v>276</v>
      </c>
      <c r="P131" s="13">
        <v>9131442</v>
      </c>
      <c r="Q131" s="65" t="s">
        <v>84</v>
      </c>
      <c r="R131" s="13" t="s">
        <v>85</v>
      </c>
      <c r="S131" s="13" t="s">
        <v>85</v>
      </c>
      <c r="T131" s="13"/>
      <c r="U131" s="13"/>
    </row>
    <row r="132" s="15" customFormat="1" hidden="1" customHeight="1" spans="1:21">
      <c r="A132" s="18">
        <v>46211</v>
      </c>
      <c r="B132" s="13">
        <v>3332152</v>
      </c>
      <c r="C132" s="13" t="s">
        <v>43</v>
      </c>
      <c r="D132" s="13" t="s">
        <v>277</v>
      </c>
      <c r="E132" s="13">
        <v>13823760559</v>
      </c>
      <c r="F132" s="13" t="s">
        <v>278</v>
      </c>
      <c r="G132" s="13"/>
      <c r="H132" s="13" t="s">
        <v>81</v>
      </c>
      <c r="I132" s="13" t="s">
        <v>54</v>
      </c>
      <c r="J132" s="13">
        <v>1800</v>
      </c>
      <c r="K132" s="13"/>
      <c r="L132" s="13" t="s">
        <v>117</v>
      </c>
      <c r="M132" s="13" t="s">
        <v>121</v>
      </c>
      <c r="N132" s="13" t="s">
        <v>101</v>
      </c>
      <c r="O132" s="19" t="s">
        <v>279</v>
      </c>
      <c r="P132" s="13">
        <v>9310756</v>
      </c>
      <c r="Q132" s="65" t="s">
        <v>84</v>
      </c>
      <c r="R132" s="13" t="s">
        <v>85</v>
      </c>
      <c r="S132" s="13" t="s">
        <v>85</v>
      </c>
      <c r="T132" s="13"/>
      <c r="U132" s="13"/>
    </row>
    <row r="133" hidden="1" customHeight="1" spans="1:21">
      <c r="A133" s="18">
        <v>46211</v>
      </c>
      <c r="C133" s="13" t="s">
        <v>48</v>
      </c>
      <c r="J133" s="13">
        <v>85</v>
      </c>
      <c r="O133" s="19" t="s">
        <v>280</v>
      </c>
    </row>
    <row r="134" s="15" customFormat="1" hidden="1" customHeight="1" spans="1:21">
      <c r="A134" s="18">
        <v>46211</v>
      </c>
      <c r="B134" s="13"/>
      <c r="C134" s="13" t="s">
        <v>49</v>
      </c>
      <c r="D134" s="13"/>
      <c r="E134" s="13"/>
      <c r="F134" s="13"/>
      <c r="G134" s="13"/>
      <c r="H134" s="13"/>
      <c r="I134" s="13"/>
      <c r="J134" s="13">
        <v>140</v>
      </c>
      <c r="K134" s="13"/>
      <c r="L134" s="13"/>
      <c r="M134" s="13"/>
      <c r="N134" s="13"/>
      <c r="O134" s="19" t="s">
        <v>281</v>
      </c>
      <c r="P134" s="13"/>
      <c r="Q134" s="65"/>
      <c r="R134" s="13"/>
      <c r="S134" s="13"/>
      <c r="T134" s="13"/>
      <c r="U134" s="13"/>
    </row>
    <row r="135" s="15" customFormat="1" hidden="1" customHeight="1" spans="1:21">
      <c r="A135" s="18">
        <v>46211</v>
      </c>
      <c r="B135" s="13"/>
      <c r="C135" s="13" t="s">
        <v>51</v>
      </c>
      <c r="D135" s="13" t="s">
        <v>282</v>
      </c>
      <c r="E135" s="13"/>
      <c r="F135" s="13"/>
      <c r="G135" s="13"/>
      <c r="H135" s="13"/>
      <c r="I135" s="13"/>
      <c r="J135" s="13">
        <v>19.9</v>
      </c>
      <c r="K135" s="13"/>
      <c r="L135" s="13"/>
      <c r="M135" s="13"/>
      <c r="N135" s="13"/>
      <c r="O135" s="19" t="s">
        <v>88</v>
      </c>
      <c r="P135" s="13"/>
      <c r="Q135" s="65"/>
      <c r="R135" s="13"/>
      <c r="S135" s="13"/>
      <c r="T135" s="13"/>
      <c r="U135" s="13"/>
    </row>
    <row r="136" s="15" customFormat="1" hidden="1" customHeight="1" spans="1:21">
      <c r="A136" s="18">
        <v>46211</v>
      </c>
      <c r="B136" s="13"/>
      <c r="C136" s="13" t="s">
        <v>48</v>
      </c>
      <c r="D136" s="13"/>
      <c r="E136" s="13"/>
      <c r="F136" s="13"/>
      <c r="G136" s="13"/>
      <c r="H136" s="13" t="s">
        <v>81</v>
      </c>
      <c r="I136" s="13" t="s">
        <v>57</v>
      </c>
      <c r="J136" s="13">
        <v>10</v>
      </c>
      <c r="K136" s="13"/>
      <c r="L136" s="13"/>
      <c r="M136" s="13"/>
      <c r="N136" s="13"/>
      <c r="O136" s="19" t="s">
        <v>283</v>
      </c>
      <c r="P136" s="13"/>
      <c r="Q136" s="65"/>
      <c r="R136" s="13"/>
      <c r="S136" s="13"/>
      <c r="T136" s="13"/>
      <c r="U136" s="13"/>
    </row>
    <row r="137" hidden="1" customHeight="1" spans="1:21">
      <c r="A137" s="72">
        <v>46212</v>
      </c>
      <c r="B137" s="13">
        <v>3332153</v>
      </c>
      <c r="C137" s="13" t="s">
        <v>45</v>
      </c>
      <c r="D137" s="13" t="s">
        <v>284</v>
      </c>
      <c r="E137" s="13">
        <v>18797913538</v>
      </c>
      <c r="F137" s="13" t="s">
        <v>90</v>
      </c>
      <c r="H137" s="13" t="s">
        <v>81</v>
      </c>
      <c r="I137" s="13" t="s">
        <v>55</v>
      </c>
      <c r="J137" s="13">
        <v>150</v>
      </c>
      <c r="O137" s="19" t="s">
        <v>219</v>
      </c>
    </row>
    <row r="138" s="15" customFormat="1" hidden="1" customHeight="1" spans="1:21">
      <c r="A138" s="18">
        <v>46212</v>
      </c>
      <c r="B138" s="13">
        <v>3332157</v>
      </c>
      <c r="C138" s="13" t="s">
        <v>45</v>
      </c>
      <c r="D138" s="13" t="s">
        <v>285</v>
      </c>
      <c r="E138" s="13">
        <v>15307000510</v>
      </c>
      <c r="F138" s="13" t="s">
        <v>90</v>
      </c>
      <c r="G138" s="13"/>
      <c r="H138" s="13" t="s">
        <v>81</v>
      </c>
      <c r="I138" s="13" t="s">
        <v>54</v>
      </c>
      <c r="J138" s="13">
        <v>150</v>
      </c>
      <c r="K138" s="13"/>
      <c r="L138" s="13"/>
      <c r="M138" s="13"/>
      <c r="N138" s="13"/>
      <c r="O138" s="19" t="s">
        <v>231</v>
      </c>
      <c r="P138" s="13"/>
      <c r="Q138" s="65"/>
      <c r="R138" s="13"/>
      <c r="S138" s="13"/>
      <c r="T138" s="13"/>
      <c r="U138" s="13"/>
    </row>
    <row r="139" s="61" customFormat="1" hidden="1" customHeight="1" spans="1:21">
      <c r="A139" s="18">
        <v>46212</v>
      </c>
      <c r="B139" s="13">
        <v>3332154</v>
      </c>
      <c r="C139" s="13" t="s">
        <v>45</v>
      </c>
      <c r="D139" s="13" t="s">
        <v>286</v>
      </c>
      <c r="E139" s="13">
        <v>13698419684</v>
      </c>
      <c r="F139" s="13" t="s">
        <v>90</v>
      </c>
      <c r="G139" s="13"/>
      <c r="H139" s="13" t="s">
        <v>81</v>
      </c>
      <c r="I139" s="13" t="s">
        <v>54</v>
      </c>
      <c r="J139" s="13">
        <v>150</v>
      </c>
      <c r="K139" s="13"/>
      <c r="L139" s="13"/>
      <c r="M139" s="13"/>
      <c r="N139" s="13"/>
      <c r="O139" s="19" t="s">
        <v>231</v>
      </c>
      <c r="P139" s="13"/>
      <c r="Q139" s="65"/>
      <c r="R139" s="13"/>
      <c r="S139" s="13"/>
      <c r="T139" s="13"/>
      <c r="U139" s="13"/>
    </row>
    <row r="140" customFormat="1" hidden="1" customHeight="1" spans="1:21">
      <c r="A140" s="18">
        <v>46212</v>
      </c>
      <c r="B140" s="13">
        <v>3332155</v>
      </c>
      <c r="C140" s="13" t="s">
        <v>45</v>
      </c>
      <c r="D140" s="13" t="s">
        <v>287</v>
      </c>
      <c r="E140" s="13">
        <v>15083506176</v>
      </c>
      <c r="F140" s="13" t="s">
        <v>90</v>
      </c>
      <c r="G140" s="13"/>
      <c r="H140" s="13" t="s">
        <v>81</v>
      </c>
      <c r="I140" s="13" t="s">
        <v>54</v>
      </c>
      <c r="J140" s="13">
        <v>150</v>
      </c>
      <c r="K140" s="13"/>
      <c r="L140" s="13"/>
      <c r="M140" s="13"/>
      <c r="N140" s="13"/>
      <c r="O140" s="19" t="s">
        <v>225</v>
      </c>
      <c r="P140" s="13"/>
      <c r="Q140" s="65"/>
      <c r="R140" s="13"/>
      <c r="S140" s="13"/>
      <c r="T140" s="13"/>
      <c r="U140" s="13"/>
    </row>
    <row r="141" hidden="1" customHeight="1" spans="1:21">
      <c r="A141" s="18">
        <v>46212</v>
      </c>
      <c r="B141" s="13">
        <v>3332156</v>
      </c>
      <c r="C141" s="13" t="s">
        <v>43</v>
      </c>
      <c r="D141" s="13" t="s">
        <v>288</v>
      </c>
      <c r="E141" s="13">
        <v>18521064037</v>
      </c>
      <c r="F141" s="13" t="s">
        <v>120</v>
      </c>
      <c r="H141" s="13" t="s">
        <v>81</v>
      </c>
      <c r="I141" s="13" t="s">
        <v>54</v>
      </c>
      <c r="J141" s="13">
        <v>688</v>
      </c>
      <c r="N141" s="13" t="s">
        <v>117</v>
      </c>
      <c r="O141" s="19" t="s">
        <v>289</v>
      </c>
      <c r="P141" s="13">
        <v>9131444</v>
      </c>
      <c r="Q141" s="65" t="s">
        <v>84</v>
      </c>
      <c r="R141" s="13" t="s">
        <v>85</v>
      </c>
      <c r="S141" s="13" t="s">
        <v>85</v>
      </c>
    </row>
    <row r="142" hidden="1" customHeight="1" spans="1:21">
      <c r="A142" s="18">
        <v>46212</v>
      </c>
      <c r="B142" s="13">
        <v>3332156</v>
      </c>
      <c r="C142" s="13" t="s">
        <v>45</v>
      </c>
      <c r="D142" s="13" t="s">
        <v>288</v>
      </c>
      <c r="E142" s="13">
        <v>18521064037</v>
      </c>
      <c r="F142" s="13" t="s">
        <v>278</v>
      </c>
      <c r="H142" s="13" t="s">
        <v>81</v>
      </c>
      <c r="I142" s="13" t="s">
        <v>54</v>
      </c>
      <c r="J142" s="13">
        <v>1880</v>
      </c>
      <c r="N142" s="13" t="s">
        <v>117</v>
      </c>
      <c r="O142" s="19" t="s">
        <v>289</v>
      </c>
      <c r="P142" s="13">
        <v>9310757</v>
      </c>
      <c r="Q142" s="65" t="s">
        <v>84</v>
      </c>
      <c r="R142" s="13" t="s">
        <v>85</v>
      </c>
      <c r="S142" s="13" t="s">
        <v>85</v>
      </c>
    </row>
    <row r="143" hidden="1" customHeight="1" spans="1:21">
      <c r="A143" s="18">
        <v>46212</v>
      </c>
      <c r="B143" s="13">
        <v>3332158</v>
      </c>
      <c r="C143" s="13" t="s">
        <v>43</v>
      </c>
      <c r="D143" s="13" t="s">
        <v>290</v>
      </c>
      <c r="E143" s="13">
        <v>13870686899</v>
      </c>
      <c r="F143" s="13" t="s">
        <v>191</v>
      </c>
      <c r="H143" s="13" t="s">
        <v>81</v>
      </c>
      <c r="I143" s="13" t="s">
        <v>54</v>
      </c>
      <c r="J143" s="13">
        <v>120</v>
      </c>
      <c r="N143" s="13" t="s">
        <v>117</v>
      </c>
      <c r="O143" s="19" t="s">
        <v>291</v>
      </c>
      <c r="P143" s="13">
        <v>9131443</v>
      </c>
      <c r="Q143" s="65" t="s">
        <v>84</v>
      </c>
      <c r="R143" s="13" t="s">
        <v>85</v>
      </c>
      <c r="S143" s="13" t="s">
        <v>85</v>
      </c>
    </row>
    <row r="144" hidden="1" customHeight="1" spans="1:21">
      <c r="A144" s="18">
        <v>46212</v>
      </c>
      <c r="B144" s="13">
        <v>3332158</v>
      </c>
      <c r="C144" s="13" t="s">
        <v>43</v>
      </c>
      <c r="D144" s="13" t="s">
        <v>290</v>
      </c>
      <c r="E144" s="13">
        <v>13870686899</v>
      </c>
      <c r="F144" s="13" t="s">
        <v>191</v>
      </c>
      <c r="H144" s="13" t="s">
        <v>81</v>
      </c>
      <c r="I144" s="13" t="s">
        <v>54</v>
      </c>
      <c r="J144" s="13">
        <v>2080</v>
      </c>
      <c r="N144" s="13" t="s">
        <v>117</v>
      </c>
      <c r="O144" s="19" t="s">
        <v>291</v>
      </c>
      <c r="P144" s="13">
        <v>9131443</v>
      </c>
      <c r="Q144" s="65" t="s">
        <v>84</v>
      </c>
      <c r="R144" s="13" t="s">
        <v>85</v>
      </c>
      <c r="S144" s="13" t="s">
        <v>85</v>
      </c>
    </row>
    <row r="145" hidden="1" customHeight="1" spans="1:21">
      <c r="A145" s="18">
        <v>46212</v>
      </c>
      <c r="B145" s="13">
        <v>3332903</v>
      </c>
      <c r="C145" s="13" t="s">
        <v>43</v>
      </c>
      <c r="D145" s="13" t="s">
        <v>292</v>
      </c>
      <c r="E145" s="13">
        <v>18379162386</v>
      </c>
      <c r="F145" s="13" t="s">
        <v>293</v>
      </c>
      <c r="H145" s="13" t="s">
        <v>81</v>
      </c>
      <c r="I145" s="13" t="s">
        <v>54</v>
      </c>
      <c r="J145" s="13">
        <v>580</v>
      </c>
      <c r="N145" s="13" t="s">
        <v>91</v>
      </c>
      <c r="O145" s="19" t="s">
        <v>294</v>
      </c>
      <c r="P145" s="13">
        <v>9131447</v>
      </c>
      <c r="Q145" s="65" t="s">
        <v>84</v>
      </c>
      <c r="R145" s="13" t="s">
        <v>85</v>
      </c>
      <c r="S145" s="13" t="s">
        <v>85</v>
      </c>
    </row>
    <row r="146" hidden="1" customHeight="1" spans="1:21">
      <c r="A146" s="18">
        <v>46212</v>
      </c>
      <c r="B146" s="13">
        <v>3332903</v>
      </c>
      <c r="C146" s="13" t="s">
        <v>43</v>
      </c>
      <c r="D146" s="13" t="s">
        <v>295</v>
      </c>
      <c r="E146" s="13">
        <v>13517081519</v>
      </c>
      <c r="F146" s="13" t="s">
        <v>293</v>
      </c>
      <c r="H146" s="13" t="s">
        <v>81</v>
      </c>
      <c r="I146" s="13" t="s">
        <v>54</v>
      </c>
      <c r="J146" s="13">
        <v>580</v>
      </c>
      <c r="N146" s="13" t="s">
        <v>91</v>
      </c>
      <c r="O146" s="19" t="s">
        <v>296</v>
      </c>
      <c r="P146" s="13">
        <v>9131448</v>
      </c>
      <c r="Q146" s="65" t="s">
        <v>84</v>
      </c>
      <c r="R146" s="13" t="s">
        <v>85</v>
      </c>
      <c r="S146" s="13" t="s">
        <v>85</v>
      </c>
    </row>
    <row r="147" hidden="1" customHeight="1" spans="1:21">
      <c r="A147" s="18">
        <v>46212</v>
      </c>
      <c r="B147" s="13">
        <v>3332901</v>
      </c>
      <c r="C147" s="13" t="s">
        <v>43</v>
      </c>
      <c r="D147" s="13" t="s">
        <v>297</v>
      </c>
      <c r="E147" s="13">
        <v>15079135182</v>
      </c>
      <c r="F147" s="13" t="s">
        <v>80</v>
      </c>
      <c r="H147" s="13" t="s">
        <v>81</v>
      </c>
      <c r="I147" s="13" t="s">
        <v>54</v>
      </c>
      <c r="J147" s="13">
        <v>720</v>
      </c>
      <c r="N147" s="13" t="s">
        <v>161</v>
      </c>
      <c r="O147" s="13" t="s">
        <v>298</v>
      </c>
      <c r="P147" s="13">
        <v>9131445</v>
      </c>
      <c r="Q147" s="65" t="s">
        <v>84</v>
      </c>
      <c r="R147" s="13" t="s">
        <v>85</v>
      </c>
      <c r="S147" s="13" t="s">
        <v>85</v>
      </c>
    </row>
    <row r="148" hidden="1" customHeight="1" spans="1:21">
      <c r="A148" s="18">
        <v>46212</v>
      </c>
      <c r="B148" s="13">
        <v>3332159</v>
      </c>
      <c r="C148" s="13" t="s">
        <v>45</v>
      </c>
      <c r="D148" s="13" t="s">
        <v>299</v>
      </c>
      <c r="E148" s="13">
        <v>15970647295</v>
      </c>
      <c r="F148" s="13" t="s">
        <v>90</v>
      </c>
      <c r="H148" s="13" t="s">
        <v>81</v>
      </c>
      <c r="I148" s="13" t="s">
        <v>54</v>
      </c>
      <c r="J148" s="13">
        <v>180</v>
      </c>
      <c r="N148" s="13" t="s">
        <v>117</v>
      </c>
      <c r="O148" s="13" t="s">
        <v>300</v>
      </c>
      <c r="P148" s="13">
        <v>9310758</v>
      </c>
      <c r="Q148" s="65" t="s">
        <v>84</v>
      </c>
      <c r="R148" s="13" t="s">
        <v>85</v>
      </c>
      <c r="S148" s="13" t="s">
        <v>85</v>
      </c>
    </row>
    <row r="149" customFormat="1" hidden="1" customHeight="1" spans="1:21">
      <c r="A149" s="18">
        <v>46212</v>
      </c>
      <c r="B149" s="13">
        <v>3332902</v>
      </c>
      <c r="C149" s="13" t="s">
        <v>43</v>
      </c>
      <c r="D149" s="13" t="s">
        <v>301</v>
      </c>
      <c r="E149" s="13">
        <v>15879172664</v>
      </c>
      <c r="F149" s="13" t="s">
        <v>80</v>
      </c>
      <c r="G149" s="13"/>
      <c r="H149" s="13" t="s">
        <v>81</v>
      </c>
      <c r="I149" s="13" t="s">
        <v>54</v>
      </c>
      <c r="J149" s="13">
        <v>285</v>
      </c>
      <c r="K149" s="13"/>
      <c r="L149" s="13"/>
      <c r="M149" s="13"/>
      <c r="N149" s="13" t="s">
        <v>117</v>
      </c>
      <c r="O149" s="13" t="s">
        <v>302</v>
      </c>
      <c r="P149" s="13">
        <v>9131446</v>
      </c>
      <c r="Q149" s="65" t="s">
        <v>84</v>
      </c>
      <c r="R149" s="13" t="s">
        <v>85</v>
      </c>
      <c r="S149" s="13" t="s">
        <v>85</v>
      </c>
      <c r="T149" s="13"/>
      <c r="U149" s="13"/>
    </row>
    <row r="150" s="61" customFormat="1" hidden="1" customHeight="1" spans="1:21">
      <c r="A150" s="18">
        <v>46212</v>
      </c>
      <c r="B150" s="13"/>
      <c r="C150" s="13" t="s">
        <v>49</v>
      </c>
      <c r="D150" s="13"/>
      <c r="E150" s="13"/>
      <c r="F150" s="13"/>
      <c r="G150" s="13"/>
      <c r="H150" s="13"/>
      <c r="I150" s="13"/>
      <c r="J150" s="13">
        <v>105</v>
      </c>
      <c r="K150" s="13"/>
      <c r="L150" s="13"/>
      <c r="M150" s="13"/>
      <c r="N150" s="13"/>
      <c r="O150" s="13" t="s">
        <v>303</v>
      </c>
      <c r="P150" s="13"/>
      <c r="Q150" s="65"/>
      <c r="R150" s="13"/>
      <c r="S150" s="13"/>
      <c r="T150" s="13"/>
      <c r="U150" s="13"/>
    </row>
    <row r="151" hidden="1" customHeight="1" spans="1:21">
      <c r="A151" s="18">
        <v>46212</v>
      </c>
      <c r="C151" s="13" t="s">
        <v>48</v>
      </c>
      <c r="J151" s="13">
        <v>43</v>
      </c>
      <c r="O151" s="13" t="s">
        <v>304</v>
      </c>
    </row>
    <row r="152" hidden="1" customHeight="1" spans="1:21">
      <c r="A152" s="18">
        <v>46212</v>
      </c>
      <c r="C152" s="13" t="s">
        <v>51</v>
      </c>
      <c r="J152" s="13">
        <v>39.9</v>
      </c>
      <c r="O152" s="19" t="s">
        <v>305</v>
      </c>
    </row>
    <row r="153" hidden="1" customHeight="1" spans="1:21">
      <c r="A153" s="18">
        <v>46212</v>
      </c>
      <c r="C153" s="13" t="s">
        <v>50</v>
      </c>
      <c r="J153" s="13">
        <v>34.8</v>
      </c>
      <c r="O153" s="13" t="s">
        <v>306</v>
      </c>
    </row>
    <row r="154" hidden="1" customHeight="1" spans="1:21">
      <c r="A154" s="18">
        <v>46212</v>
      </c>
      <c r="B154" s="13">
        <v>3332149</v>
      </c>
      <c r="C154" s="13" t="s">
        <v>43</v>
      </c>
      <c r="D154" s="13" t="s">
        <v>307</v>
      </c>
      <c r="E154" s="13">
        <v>13237515156</v>
      </c>
      <c r="F154" s="13" t="s">
        <v>90</v>
      </c>
      <c r="H154" s="13" t="s">
        <v>81</v>
      </c>
      <c r="I154" s="13" t="s">
        <v>54</v>
      </c>
      <c r="J154" s="13">
        <v>800</v>
      </c>
      <c r="N154" s="13" t="s">
        <v>82</v>
      </c>
      <c r="O154" s="19" t="s">
        <v>308</v>
      </c>
      <c r="P154" s="13">
        <v>9310759</v>
      </c>
      <c r="Q154" s="65" t="s">
        <v>84</v>
      </c>
      <c r="R154" s="13" t="s">
        <v>85</v>
      </c>
      <c r="S154" s="13" t="s">
        <v>85</v>
      </c>
    </row>
    <row r="155" hidden="1" customHeight="1" spans="1:21">
      <c r="A155" s="72">
        <v>46213</v>
      </c>
      <c r="B155" s="13">
        <v>3332160</v>
      </c>
      <c r="C155" s="13" t="s">
        <v>45</v>
      </c>
      <c r="D155" s="76" t="s">
        <v>309</v>
      </c>
      <c r="E155" s="13">
        <v>15179153969</v>
      </c>
      <c r="F155" s="13" t="s">
        <v>90</v>
      </c>
      <c r="H155" s="13" t="s">
        <v>81</v>
      </c>
      <c r="I155" s="13" t="s">
        <v>54</v>
      </c>
      <c r="J155" s="13">
        <v>150</v>
      </c>
      <c r="O155" s="19" t="s">
        <v>310</v>
      </c>
    </row>
    <row r="156" hidden="1" customHeight="1" spans="1:21">
      <c r="A156" s="18">
        <v>46213</v>
      </c>
      <c r="B156" s="13">
        <v>3332905</v>
      </c>
      <c r="C156" s="13" t="s">
        <v>45</v>
      </c>
      <c r="D156" s="13" t="s">
        <v>311</v>
      </c>
      <c r="E156" s="13">
        <v>15179150617</v>
      </c>
      <c r="F156" s="13" t="s">
        <v>90</v>
      </c>
      <c r="H156" s="13" t="s">
        <v>81</v>
      </c>
      <c r="I156" s="13" t="s">
        <v>54</v>
      </c>
      <c r="J156" s="13">
        <v>880</v>
      </c>
      <c r="N156" s="13" t="s">
        <v>91</v>
      </c>
      <c r="O156" s="13" t="s">
        <v>312</v>
      </c>
      <c r="P156" s="13">
        <v>9310760</v>
      </c>
      <c r="Q156" s="65" t="s">
        <v>84</v>
      </c>
      <c r="R156" s="13" t="s">
        <v>85</v>
      </c>
      <c r="S156" s="13" t="s">
        <v>85</v>
      </c>
    </row>
    <row r="157" s="15" customFormat="1" hidden="1" customHeight="1" spans="1:21">
      <c r="A157" s="18">
        <v>46213</v>
      </c>
      <c r="B157" s="13">
        <v>3332906</v>
      </c>
      <c r="C157" s="13" t="s">
        <v>43</v>
      </c>
      <c r="D157" s="13" t="s">
        <v>313</v>
      </c>
      <c r="E157" s="13">
        <v>15079070357</v>
      </c>
      <c r="F157" s="13" t="s">
        <v>80</v>
      </c>
      <c r="G157" s="13"/>
      <c r="H157" s="13" t="s">
        <v>81</v>
      </c>
      <c r="I157" s="13" t="s">
        <v>54</v>
      </c>
      <c r="J157" s="13">
        <v>200</v>
      </c>
      <c r="K157" s="13"/>
      <c r="L157" s="13" t="s">
        <v>117</v>
      </c>
      <c r="M157" s="13" t="s">
        <v>121</v>
      </c>
      <c r="N157" s="13" t="s">
        <v>101</v>
      </c>
      <c r="O157" s="19" t="s">
        <v>314</v>
      </c>
      <c r="P157" s="13">
        <v>9131449</v>
      </c>
      <c r="Q157" s="65" t="s">
        <v>84</v>
      </c>
      <c r="R157" s="13" t="s">
        <v>85</v>
      </c>
      <c r="S157" s="13" t="s">
        <v>85</v>
      </c>
      <c r="T157" s="13"/>
      <c r="U157" s="13"/>
    </row>
    <row r="158" hidden="1" customHeight="1" spans="1:21">
      <c r="A158" s="18">
        <v>46213</v>
      </c>
      <c r="B158" s="13">
        <v>3332907</v>
      </c>
      <c r="C158" s="13" t="s">
        <v>43</v>
      </c>
      <c r="D158" s="13" t="s">
        <v>315</v>
      </c>
      <c r="E158" s="13">
        <v>13330072910</v>
      </c>
      <c r="F158" s="13" t="s">
        <v>120</v>
      </c>
      <c r="H158" s="13" t="s">
        <v>81</v>
      </c>
      <c r="I158" s="13" t="s">
        <v>54</v>
      </c>
      <c r="J158" s="13">
        <v>1300</v>
      </c>
      <c r="N158" s="13" t="s">
        <v>91</v>
      </c>
      <c r="O158" s="19" t="s">
        <v>316</v>
      </c>
      <c r="P158" s="13">
        <v>9131451</v>
      </c>
      <c r="Q158" s="65" t="s">
        <v>84</v>
      </c>
      <c r="R158" s="13" t="s">
        <v>85</v>
      </c>
      <c r="S158" s="13" t="s">
        <v>85</v>
      </c>
    </row>
    <row r="159" hidden="1" customHeight="1" spans="1:21">
      <c r="A159" s="18">
        <v>46213</v>
      </c>
      <c r="B159" s="13">
        <v>3332908</v>
      </c>
      <c r="C159" s="13" t="s">
        <v>43</v>
      </c>
      <c r="D159" s="13" t="s">
        <v>317</v>
      </c>
      <c r="E159" s="13">
        <v>15970611420</v>
      </c>
      <c r="F159" s="13" t="s">
        <v>80</v>
      </c>
      <c r="H159" s="13" t="s">
        <v>81</v>
      </c>
      <c r="I159" s="13" t="s">
        <v>54</v>
      </c>
      <c r="J159" s="13">
        <v>286</v>
      </c>
      <c r="N159" s="13" t="s">
        <v>318</v>
      </c>
      <c r="O159" s="19" t="s">
        <v>319</v>
      </c>
      <c r="P159" s="13">
        <v>9131450</v>
      </c>
      <c r="Q159" s="65" t="s">
        <v>84</v>
      </c>
      <c r="R159" s="13" t="s">
        <v>85</v>
      </c>
      <c r="S159" s="13" t="s">
        <v>85</v>
      </c>
    </row>
    <row r="160" ht="27" hidden="1" customHeight="1" spans="1:21">
      <c r="A160" s="18">
        <v>46213</v>
      </c>
      <c r="B160" s="13">
        <v>3332909</v>
      </c>
      <c r="C160" s="13" t="s">
        <v>43</v>
      </c>
      <c r="D160" s="13" t="s">
        <v>320</v>
      </c>
      <c r="E160" s="13">
        <v>13627089153</v>
      </c>
      <c r="F160" s="13" t="s">
        <v>80</v>
      </c>
      <c r="H160" s="13" t="s">
        <v>81</v>
      </c>
      <c r="I160" s="13" t="s">
        <v>54</v>
      </c>
      <c r="J160" s="13">
        <v>288</v>
      </c>
      <c r="N160" s="13" t="s">
        <v>82</v>
      </c>
      <c r="O160" s="19" t="s">
        <v>321</v>
      </c>
      <c r="P160" s="13">
        <v>9131452</v>
      </c>
      <c r="Q160" s="65" t="s">
        <v>84</v>
      </c>
      <c r="R160" s="13" t="s">
        <v>85</v>
      </c>
      <c r="S160" s="13" t="s">
        <v>85</v>
      </c>
    </row>
    <row r="161" ht="27" hidden="1" customHeight="1" spans="1:21">
      <c r="A161" s="18">
        <v>46213</v>
      </c>
      <c r="B161" s="13">
        <v>3332910</v>
      </c>
      <c r="C161" s="13" t="s">
        <v>43</v>
      </c>
      <c r="D161" s="13" t="s">
        <v>322</v>
      </c>
      <c r="E161" s="13">
        <v>17770099098</v>
      </c>
      <c r="F161" s="13" t="s">
        <v>80</v>
      </c>
      <c r="H161" s="13" t="s">
        <v>81</v>
      </c>
      <c r="I161" s="13" t="s">
        <v>54</v>
      </c>
      <c r="J161" s="13">
        <v>400</v>
      </c>
      <c r="N161" s="13" t="s">
        <v>101</v>
      </c>
      <c r="O161" s="19" t="s">
        <v>323</v>
      </c>
      <c r="P161" s="13">
        <v>9131453</v>
      </c>
      <c r="Q161" s="65" t="s">
        <v>84</v>
      </c>
      <c r="R161" s="13" t="s">
        <v>85</v>
      </c>
      <c r="S161" s="13" t="s">
        <v>85</v>
      </c>
    </row>
    <row r="162" ht="28" hidden="1" customHeight="1" spans="1:21">
      <c r="A162" s="18">
        <v>46213</v>
      </c>
      <c r="C162" s="13" t="s">
        <v>48</v>
      </c>
      <c r="J162" s="13">
        <v>61</v>
      </c>
      <c r="O162" s="21" t="s">
        <v>324</v>
      </c>
    </row>
    <row r="163" ht="27" hidden="1" customHeight="1" spans="1:21">
      <c r="A163" s="18">
        <v>46213</v>
      </c>
      <c r="C163" s="13" t="s">
        <v>49</v>
      </c>
      <c r="J163" s="13">
        <v>5</v>
      </c>
      <c r="O163" s="21" t="s">
        <v>325</v>
      </c>
    </row>
    <row r="164" s="15" customFormat="1" ht="27" hidden="1" customHeight="1" spans="1:21">
      <c r="A164" s="18">
        <v>46213</v>
      </c>
      <c r="B164" s="13"/>
      <c r="C164" s="13" t="s">
        <v>50</v>
      </c>
      <c r="D164" s="13"/>
      <c r="E164" s="13"/>
      <c r="F164" s="13"/>
      <c r="G164" s="13"/>
      <c r="H164" s="13"/>
      <c r="I164" s="13"/>
      <c r="J164" s="13">
        <v>19.9</v>
      </c>
      <c r="K164" s="13"/>
      <c r="L164" s="13"/>
      <c r="M164" s="13"/>
      <c r="N164" s="13"/>
      <c r="O164" s="73" t="s">
        <v>88</v>
      </c>
      <c r="P164" s="13"/>
      <c r="Q164" s="65"/>
      <c r="R164" s="13"/>
      <c r="S164" s="13"/>
      <c r="T164" s="13"/>
      <c r="U164" s="13"/>
    </row>
    <row r="165" s="15" customFormat="1" ht="27" hidden="1" customHeight="1" spans="1:21">
      <c r="A165" s="18">
        <v>46213</v>
      </c>
      <c r="B165" s="13"/>
      <c r="C165" s="13" t="s">
        <v>51</v>
      </c>
      <c r="D165" s="13"/>
      <c r="E165" s="13"/>
      <c r="F165" s="13"/>
      <c r="G165" s="13"/>
      <c r="H165" s="13"/>
      <c r="I165" s="13"/>
      <c r="J165" s="13">
        <v>39.9</v>
      </c>
      <c r="K165" s="13"/>
      <c r="L165" s="13"/>
      <c r="M165" s="13"/>
      <c r="N165" s="13"/>
      <c r="O165" s="73" t="s">
        <v>305</v>
      </c>
      <c r="P165" s="13"/>
      <c r="Q165" s="65"/>
      <c r="R165" s="13"/>
      <c r="S165" s="13"/>
      <c r="T165" s="13"/>
      <c r="U165" s="13"/>
    </row>
    <row r="166" hidden="1" customHeight="1" spans="1:21">
      <c r="A166" s="72">
        <v>46214</v>
      </c>
      <c r="B166" s="13">
        <v>3332911</v>
      </c>
      <c r="C166" s="13" t="s">
        <v>43</v>
      </c>
      <c r="D166" s="13" t="s">
        <v>242</v>
      </c>
      <c r="E166" s="13">
        <v>13607064916</v>
      </c>
      <c r="F166" s="13" t="s">
        <v>120</v>
      </c>
      <c r="H166" s="13" t="s">
        <v>81</v>
      </c>
      <c r="I166" s="13" t="s">
        <v>54</v>
      </c>
      <c r="J166" s="13">
        <v>688</v>
      </c>
      <c r="N166" s="13" t="s">
        <v>117</v>
      </c>
      <c r="O166" s="13" t="s">
        <v>326</v>
      </c>
      <c r="P166" s="13">
        <v>9131454</v>
      </c>
      <c r="Q166" s="65" t="s">
        <v>84</v>
      </c>
      <c r="R166" s="13" t="s">
        <v>85</v>
      </c>
      <c r="S166" s="13" t="s">
        <v>85</v>
      </c>
    </row>
    <row r="167" hidden="1" customHeight="1" spans="1:21">
      <c r="A167" s="18">
        <v>46214</v>
      </c>
      <c r="B167" s="13">
        <v>3332911</v>
      </c>
      <c r="C167" s="13" t="s">
        <v>43</v>
      </c>
      <c r="D167" s="13" t="s">
        <v>243</v>
      </c>
      <c r="E167" s="13">
        <v>18979191560</v>
      </c>
      <c r="F167" s="13" t="s">
        <v>120</v>
      </c>
      <c r="H167" s="13" t="s">
        <v>81</v>
      </c>
      <c r="I167" s="13" t="s">
        <v>54</v>
      </c>
      <c r="J167" s="13">
        <v>688</v>
      </c>
      <c r="N167" s="13" t="s">
        <v>117</v>
      </c>
      <c r="O167" s="13" t="s">
        <v>326</v>
      </c>
      <c r="P167" s="13">
        <v>9131454</v>
      </c>
      <c r="Q167" s="65" t="s">
        <v>84</v>
      </c>
      <c r="R167" s="13" t="s">
        <v>85</v>
      </c>
      <c r="S167" s="13" t="s">
        <v>85</v>
      </c>
    </row>
    <row r="168" hidden="1" customHeight="1" spans="1:21">
      <c r="A168" s="18">
        <v>46214</v>
      </c>
      <c r="B168" s="83">
        <v>3332921</v>
      </c>
      <c r="C168" s="83" t="s">
        <v>43</v>
      </c>
      <c r="D168" s="83" t="s">
        <v>327</v>
      </c>
      <c r="E168" s="83">
        <v>15079103616</v>
      </c>
      <c r="F168" s="83" t="s">
        <v>80</v>
      </c>
      <c r="G168" s="83"/>
      <c r="H168" s="83" t="s">
        <v>81</v>
      </c>
      <c r="I168" s="83" t="s">
        <v>54</v>
      </c>
      <c r="J168" s="83">
        <v>399</v>
      </c>
      <c r="K168" s="83"/>
      <c r="L168" s="83"/>
      <c r="M168" s="83"/>
      <c r="N168" s="83" t="s">
        <v>101</v>
      </c>
      <c r="O168" s="83" t="s">
        <v>98</v>
      </c>
      <c r="P168" s="83">
        <v>9131455</v>
      </c>
      <c r="Q168" s="65" t="s">
        <v>84</v>
      </c>
      <c r="R168" s="13" t="s">
        <v>85</v>
      </c>
      <c r="S168" s="13" t="s">
        <v>85</v>
      </c>
      <c r="T168" s="83"/>
      <c r="U168" s="83"/>
    </row>
    <row r="169" s="62" customFormat="1" hidden="1" customHeight="1" spans="1:21">
      <c r="A169" s="18">
        <v>46214</v>
      </c>
      <c r="B169" s="13">
        <v>3332922</v>
      </c>
      <c r="C169" s="13" t="s">
        <v>43</v>
      </c>
      <c r="D169" s="13" t="s">
        <v>328</v>
      </c>
      <c r="E169" s="13">
        <v>17800897580</v>
      </c>
      <c r="F169" s="13" t="s">
        <v>80</v>
      </c>
      <c r="G169" s="13"/>
      <c r="H169" s="13" t="s">
        <v>81</v>
      </c>
      <c r="I169" s="13" t="s">
        <v>54</v>
      </c>
      <c r="J169" s="13">
        <v>598</v>
      </c>
      <c r="K169" s="13"/>
      <c r="L169" s="13" t="s">
        <v>82</v>
      </c>
      <c r="M169" s="13" t="s">
        <v>121</v>
      </c>
      <c r="N169" s="13" t="s">
        <v>101</v>
      </c>
      <c r="O169" s="13" t="s">
        <v>329</v>
      </c>
      <c r="P169" s="13">
        <v>9131456</v>
      </c>
      <c r="Q169" s="65" t="s">
        <v>84</v>
      </c>
      <c r="R169" s="13" t="s">
        <v>85</v>
      </c>
      <c r="S169" s="13" t="s">
        <v>85</v>
      </c>
      <c r="T169" s="13"/>
      <c r="U169" s="13"/>
    </row>
    <row r="170" s="62" customFormat="1" hidden="1" customHeight="1" spans="1:21">
      <c r="A170" s="18">
        <v>46214</v>
      </c>
      <c r="B170" s="13">
        <v>3332923</v>
      </c>
      <c r="C170" s="13" t="s">
        <v>43</v>
      </c>
      <c r="D170" s="13" t="s">
        <v>330</v>
      </c>
      <c r="E170" s="13">
        <v>13007229027</v>
      </c>
      <c r="F170" s="13" t="s">
        <v>120</v>
      </c>
      <c r="G170" s="13"/>
      <c r="H170" s="13" t="s">
        <v>81</v>
      </c>
      <c r="I170" s="13" t="s">
        <v>54</v>
      </c>
      <c r="J170" s="13">
        <v>500</v>
      </c>
      <c r="K170" s="13"/>
      <c r="L170" s="13"/>
      <c r="M170" s="13"/>
      <c r="N170" s="13" t="s">
        <v>82</v>
      </c>
      <c r="O170" s="13" t="s">
        <v>331</v>
      </c>
      <c r="P170" s="13"/>
      <c r="Q170" s="65"/>
      <c r="R170" s="13"/>
      <c r="S170" s="13"/>
      <c r="T170" s="13"/>
      <c r="U170" s="13"/>
    </row>
    <row r="171" hidden="1" customHeight="1" spans="1:21">
      <c r="A171" s="18">
        <v>46214</v>
      </c>
      <c r="B171" s="84">
        <v>3332924</v>
      </c>
      <c r="C171" s="84" t="s">
        <v>45</v>
      </c>
      <c r="D171" s="13" t="s">
        <v>332</v>
      </c>
      <c r="E171" s="84">
        <v>19970056508</v>
      </c>
      <c r="F171" s="84" t="s">
        <v>90</v>
      </c>
      <c r="G171" s="84"/>
      <c r="H171" s="84" t="s">
        <v>81</v>
      </c>
      <c r="I171" s="84" t="s">
        <v>54</v>
      </c>
      <c r="J171" s="84">
        <v>1800</v>
      </c>
      <c r="K171" s="84"/>
      <c r="L171" s="84"/>
      <c r="M171" s="84"/>
      <c r="N171" s="84" t="s">
        <v>82</v>
      </c>
      <c r="O171" s="84" t="s">
        <v>333</v>
      </c>
      <c r="P171" s="84">
        <v>9310762</v>
      </c>
      <c r="Q171" s="65" t="s">
        <v>84</v>
      </c>
      <c r="R171" s="13" t="s">
        <v>85</v>
      </c>
      <c r="S171" s="13" t="s">
        <v>85</v>
      </c>
      <c r="T171" s="84"/>
      <c r="U171" s="84"/>
    </row>
    <row r="172" ht="28" hidden="1" customHeight="1" spans="1:21">
      <c r="A172" s="18">
        <v>46214</v>
      </c>
      <c r="B172" s="13">
        <v>3332925</v>
      </c>
      <c r="C172" s="13" t="s">
        <v>43</v>
      </c>
      <c r="D172" s="84" t="s">
        <v>334</v>
      </c>
      <c r="E172" s="13">
        <v>17807081836</v>
      </c>
      <c r="F172" s="13" t="s">
        <v>80</v>
      </c>
      <c r="H172" s="13" t="s">
        <v>81</v>
      </c>
      <c r="I172" s="13" t="s">
        <v>55</v>
      </c>
      <c r="J172" s="13">
        <v>290</v>
      </c>
      <c r="N172" s="13" t="s">
        <v>101</v>
      </c>
      <c r="O172" s="73" t="s">
        <v>80</v>
      </c>
      <c r="P172" s="13">
        <v>9131457</v>
      </c>
      <c r="Q172" s="65" t="s">
        <v>84</v>
      </c>
      <c r="R172" s="13" t="s">
        <v>85</v>
      </c>
      <c r="S172" s="13" t="s">
        <v>85</v>
      </c>
    </row>
    <row r="173" ht="29" hidden="1" customHeight="1" spans="1:21">
      <c r="A173" s="18">
        <v>46214</v>
      </c>
      <c r="B173" s="13">
        <v>3332913</v>
      </c>
      <c r="C173" s="13" t="s">
        <v>45</v>
      </c>
      <c r="D173" s="13" t="s">
        <v>335</v>
      </c>
      <c r="E173" s="13">
        <v>13767416817</v>
      </c>
      <c r="F173" s="13" t="s">
        <v>116</v>
      </c>
      <c r="H173" s="13" t="s">
        <v>81</v>
      </c>
      <c r="I173" s="13" t="s">
        <v>54</v>
      </c>
      <c r="J173" s="13">
        <v>1000</v>
      </c>
      <c r="L173" s="13" t="s">
        <v>318</v>
      </c>
      <c r="M173" s="13" t="s">
        <v>121</v>
      </c>
      <c r="N173" s="13" t="s">
        <v>101</v>
      </c>
      <c r="O173" s="73" t="s">
        <v>336</v>
      </c>
      <c r="P173" s="13">
        <v>9310763</v>
      </c>
      <c r="Q173" s="65" t="s">
        <v>84</v>
      </c>
      <c r="R173" s="13" t="s">
        <v>85</v>
      </c>
      <c r="S173" s="13" t="s">
        <v>85</v>
      </c>
    </row>
    <row r="174" hidden="1" customHeight="1" spans="1:21">
      <c r="A174" s="18">
        <v>46214</v>
      </c>
      <c r="B174" s="13">
        <v>3332912</v>
      </c>
      <c r="C174" s="13" t="s">
        <v>45</v>
      </c>
      <c r="D174" s="13" t="s">
        <v>337</v>
      </c>
      <c r="E174" s="13">
        <v>15083673103</v>
      </c>
      <c r="F174" s="13" t="s">
        <v>90</v>
      </c>
      <c r="H174" s="13" t="s">
        <v>81</v>
      </c>
      <c r="I174" s="13" t="s">
        <v>55</v>
      </c>
      <c r="J174" s="13">
        <v>758</v>
      </c>
      <c r="N174" s="13" t="s">
        <v>101</v>
      </c>
      <c r="O174" s="13" t="s">
        <v>338</v>
      </c>
      <c r="P174" s="13">
        <v>9310761</v>
      </c>
      <c r="Q174" s="65" t="s">
        <v>84</v>
      </c>
      <c r="R174" s="13" t="s">
        <v>85</v>
      </c>
      <c r="S174" s="13" t="s">
        <v>85</v>
      </c>
    </row>
    <row r="175" hidden="1" customHeight="1" spans="1:21">
      <c r="A175" s="18">
        <v>46214</v>
      </c>
      <c r="B175" s="13">
        <v>3332926</v>
      </c>
      <c r="C175" s="13" t="s">
        <v>43</v>
      </c>
      <c r="D175" s="13" t="s">
        <v>339</v>
      </c>
      <c r="E175" s="13">
        <v>18007059821</v>
      </c>
      <c r="F175" s="13" t="s">
        <v>120</v>
      </c>
      <c r="H175" s="13" t="s">
        <v>81</v>
      </c>
      <c r="I175" s="13" t="s">
        <v>55</v>
      </c>
      <c r="J175" s="13">
        <v>1000</v>
      </c>
      <c r="N175" s="13" t="s">
        <v>91</v>
      </c>
      <c r="O175" s="19" t="s">
        <v>340</v>
      </c>
      <c r="P175" s="13">
        <v>9131458</v>
      </c>
      <c r="Q175" s="65" t="s">
        <v>84</v>
      </c>
      <c r="R175" s="13" t="s">
        <v>85</v>
      </c>
      <c r="S175" s="13" t="s">
        <v>85</v>
      </c>
    </row>
    <row r="176" hidden="1" customHeight="1" spans="1:21">
      <c r="A176" s="18">
        <v>46214</v>
      </c>
      <c r="C176" s="13" t="s">
        <v>48</v>
      </c>
      <c r="J176" s="13">
        <f>2+61</f>
        <v>63</v>
      </c>
      <c r="O176" s="19" t="s">
        <v>341</v>
      </c>
    </row>
    <row r="177" hidden="1" customHeight="1" spans="1:21">
      <c r="A177" s="18">
        <v>46214</v>
      </c>
      <c r="C177" s="13" t="s">
        <v>49</v>
      </c>
      <c r="J177" s="13">
        <v>45</v>
      </c>
      <c r="O177" s="19" t="s">
        <v>342</v>
      </c>
    </row>
    <row r="178" hidden="1" customHeight="1" spans="1:21">
      <c r="A178" s="18">
        <v>46214</v>
      </c>
      <c r="C178" s="13" t="s">
        <v>50</v>
      </c>
      <c r="E178" s="21"/>
      <c r="J178" s="13">
        <v>34.8</v>
      </c>
      <c r="O178" s="19" t="s">
        <v>306</v>
      </c>
    </row>
    <row r="179" ht="28" hidden="1" customHeight="1" spans="1:21">
      <c r="A179" s="18">
        <v>46214</v>
      </c>
      <c r="C179" s="13" t="s">
        <v>51</v>
      </c>
      <c r="J179" s="13">
        <v>79.8</v>
      </c>
      <c r="O179" s="73" t="s">
        <v>343</v>
      </c>
    </row>
    <row r="180" s="15" customFormat="1" customHeight="1" spans="1:21">
      <c r="A180" s="18">
        <v>46215</v>
      </c>
      <c r="B180" s="13">
        <v>3332927</v>
      </c>
      <c r="C180" s="13" t="s">
        <v>45</v>
      </c>
      <c r="D180" s="13" t="s">
        <v>344</v>
      </c>
      <c r="E180" s="21" t="s">
        <v>345</v>
      </c>
      <c r="F180" s="13" t="s">
        <v>346</v>
      </c>
      <c r="G180" s="13"/>
      <c r="H180" s="13" t="s">
        <v>81</v>
      </c>
      <c r="I180" s="13" t="s">
        <v>54</v>
      </c>
      <c r="J180" s="13">
        <v>400</v>
      </c>
      <c r="K180" s="13"/>
      <c r="L180" s="13"/>
      <c r="M180" s="13"/>
      <c r="N180" s="13" t="s">
        <v>101</v>
      </c>
      <c r="O180" s="13" t="s">
        <v>346</v>
      </c>
      <c r="P180" s="13"/>
      <c r="Q180" s="65"/>
      <c r="R180" s="13"/>
      <c r="S180" s="13"/>
      <c r="T180" s="13"/>
      <c r="U180" s="13"/>
    </row>
    <row r="181" customHeight="1" spans="1:21">
      <c r="A181" s="18">
        <v>46215</v>
      </c>
      <c r="B181" s="13">
        <v>3332914</v>
      </c>
      <c r="C181" s="13" t="s">
        <v>43</v>
      </c>
      <c r="D181" s="13" t="s">
        <v>347</v>
      </c>
      <c r="E181" s="13">
        <v>15070925112</v>
      </c>
      <c r="F181" s="13" t="s">
        <v>80</v>
      </c>
      <c r="H181" s="13" t="s">
        <v>81</v>
      </c>
      <c r="I181" s="13" t="s">
        <v>54</v>
      </c>
      <c r="J181" s="13">
        <v>299</v>
      </c>
      <c r="N181" s="13" t="s">
        <v>101</v>
      </c>
      <c r="O181" s="73" t="s">
        <v>80</v>
      </c>
      <c r="P181" s="13">
        <v>9131459</v>
      </c>
      <c r="Q181" s="65" t="s">
        <v>84</v>
      </c>
      <c r="R181" s="13" t="s">
        <v>85</v>
      </c>
      <c r="S181" s="13" t="s">
        <v>85</v>
      </c>
    </row>
    <row r="182" customHeight="1" spans="1:21">
      <c r="A182" s="18">
        <v>46215</v>
      </c>
      <c r="B182" s="13">
        <v>3332928</v>
      </c>
      <c r="C182" s="13" t="s">
        <v>43</v>
      </c>
      <c r="D182" s="13" t="s">
        <v>348</v>
      </c>
      <c r="E182" s="13">
        <v>17770820851</v>
      </c>
      <c r="F182" s="13" t="s">
        <v>80</v>
      </c>
      <c r="H182" s="13" t="s">
        <v>81</v>
      </c>
      <c r="I182" s="13" t="s">
        <v>54</v>
      </c>
      <c r="J182" s="13">
        <v>299</v>
      </c>
      <c r="N182" s="13" t="s">
        <v>101</v>
      </c>
      <c r="O182" s="73" t="s">
        <v>80</v>
      </c>
      <c r="P182" s="13">
        <v>9131460</v>
      </c>
      <c r="Q182" s="65" t="s">
        <v>84</v>
      </c>
      <c r="R182" s="13" t="s">
        <v>85</v>
      </c>
      <c r="S182" s="13" t="s">
        <v>85</v>
      </c>
    </row>
    <row r="183" customHeight="1" spans="1:21">
      <c r="A183" s="18">
        <v>46215</v>
      </c>
      <c r="B183" s="13">
        <v>3332915</v>
      </c>
      <c r="C183" s="13" t="s">
        <v>43</v>
      </c>
      <c r="D183" s="13" t="s">
        <v>349</v>
      </c>
      <c r="E183" s="13">
        <v>18770685852</v>
      </c>
      <c r="F183" s="13" t="s">
        <v>293</v>
      </c>
      <c r="H183" s="13" t="s">
        <v>81</v>
      </c>
      <c r="I183" s="13" t="s">
        <v>54</v>
      </c>
      <c r="J183" s="13">
        <v>600</v>
      </c>
      <c r="N183" s="13" t="s">
        <v>82</v>
      </c>
      <c r="O183" s="13" t="s">
        <v>293</v>
      </c>
      <c r="P183" s="13">
        <v>9131461</v>
      </c>
      <c r="Q183" s="65" t="s">
        <v>84</v>
      </c>
      <c r="R183" s="13" t="s">
        <v>85</v>
      </c>
      <c r="S183" s="13" t="s">
        <v>85</v>
      </c>
    </row>
    <row r="184" s="15" customFormat="1" customHeight="1" spans="1:21">
      <c r="A184" s="18">
        <v>46215</v>
      </c>
      <c r="B184" s="13">
        <v>3332917</v>
      </c>
      <c r="C184" s="13" t="s">
        <v>43</v>
      </c>
      <c r="D184" s="13" t="s">
        <v>350</v>
      </c>
      <c r="E184" s="13">
        <v>18907000792</v>
      </c>
      <c r="F184" s="13" t="s">
        <v>80</v>
      </c>
      <c r="G184" s="13"/>
      <c r="H184" s="13" t="s">
        <v>81</v>
      </c>
      <c r="I184" s="13" t="s">
        <v>54</v>
      </c>
      <c r="J184" s="13">
        <v>299</v>
      </c>
      <c r="K184" s="13"/>
      <c r="L184" s="13"/>
      <c r="M184" s="13"/>
      <c r="N184" s="13" t="s">
        <v>117</v>
      </c>
      <c r="O184" s="73" t="s">
        <v>351</v>
      </c>
      <c r="P184" s="13">
        <v>9131462</v>
      </c>
      <c r="Q184" s="65" t="s">
        <v>84</v>
      </c>
      <c r="R184" s="13" t="s">
        <v>85</v>
      </c>
      <c r="S184" s="13" t="s">
        <v>85</v>
      </c>
      <c r="T184" s="13"/>
      <c r="U184" s="13"/>
    </row>
    <row r="185" s="15" customFormat="1" ht="34" customHeight="1" spans="1:21">
      <c r="A185" s="18">
        <v>46215</v>
      </c>
      <c r="B185" s="13">
        <v>3332916</v>
      </c>
      <c r="C185" s="13" t="s">
        <v>45</v>
      </c>
      <c r="D185" s="13" t="s">
        <v>344</v>
      </c>
      <c r="E185" s="21" t="s">
        <v>345</v>
      </c>
      <c r="F185" s="13" t="s">
        <v>116</v>
      </c>
      <c r="G185" s="13"/>
      <c r="H185" s="13" t="s">
        <v>81</v>
      </c>
      <c r="I185" s="13" t="s">
        <v>54</v>
      </c>
      <c r="J185" s="13">
        <v>2320</v>
      </c>
      <c r="K185" s="13"/>
      <c r="L185" s="13"/>
      <c r="M185" s="13"/>
      <c r="N185" s="13" t="s">
        <v>101</v>
      </c>
      <c r="O185" s="19" t="s">
        <v>352</v>
      </c>
      <c r="P185" s="13" t="s">
        <v>353</v>
      </c>
      <c r="Q185" s="65" t="s">
        <v>84</v>
      </c>
      <c r="R185" s="13" t="s">
        <v>85</v>
      </c>
      <c r="S185" s="13" t="s">
        <v>85</v>
      </c>
      <c r="T185" s="13"/>
      <c r="U185" s="13"/>
    </row>
    <row r="186" customHeight="1" spans="1:21">
      <c r="A186" s="18">
        <v>46215</v>
      </c>
      <c r="C186" s="13" t="s">
        <v>48</v>
      </c>
      <c r="J186" s="13">
        <v>17</v>
      </c>
      <c r="O186" s="19" t="s">
        <v>354</v>
      </c>
    </row>
    <row r="187" customHeight="1" spans="1:21">
      <c r="A187" s="18">
        <v>46215</v>
      </c>
      <c r="C187" s="13" t="s">
        <v>49</v>
      </c>
      <c r="E187" s="21"/>
      <c r="J187" s="13">
        <v>40</v>
      </c>
      <c r="O187" s="19" t="s">
        <v>355</v>
      </c>
    </row>
    <row r="188" customHeight="1" spans="1:21">
      <c r="A188" s="18">
        <v>46215</v>
      </c>
      <c r="C188" s="13" t="s">
        <v>50</v>
      </c>
      <c r="J188" s="13">
        <v>19.9</v>
      </c>
      <c r="O188" s="13" t="s">
        <v>88</v>
      </c>
      <c r="R188" s="19"/>
      <c r="S188" s="19"/>
    </row>
    <row r="189" hidden="1" customHeight="1" spans="1:21">
      <c r="A189" s="18"/>
      <c r="R189" s="19"/>
      <c r="S189" s="19"/>
    </row>
    <row r="190" hidden="1" customHeight="1" spans="1:21">
      <c r="A190" s="18"/>
      <c r="D190" s="21"/>
      <c r="E190" s="21"/>
      <c r="O190" s="19"/>
    </row>
    <row r="191" ht="29" hidden="1" customHeight="1" spans="1:21">
      <c r="A191" s="85"/>
      <c r="E191" s="21"/>
      <c r="O191" s="21"/>
    </row>
    <row r="192" hidden="1" customHeight="1" spans="1:21">
      <c r="A192" s="18"/>
      <c r="O192" s="73"/>
    </row>
    <row r="193" hidden="1" customHeight="1" spans="1:19">
      <c r="A193" s="18"/>
      <c r="O193" s="21"/>
    </row>
    <row r="194" hidden="1" customHeight="1" spans="1:19">
      <c r="A194" s="18"/>
    </row>
    <row r="195" hidden="1" customHeight="1" spans="1:19">
      <c r="A195" s="18"/>
      <c r="R195" s="19"/>
      <c r="S195" s="19"/>
    </row>
    <row r="196" ht="27" hidden="1" customHeight="1" spans="1:19">
      <c r="A196" s="18"/>
      <c r="O196" s="73"/>
    </row>
    <row r="197" hidden="1" customHeight="1" spans="1:19">
      <c r="A197" s="18"/>
      <c r="O197" s="73"/>
    </row>
    <row r="198" hidden="1" customHeight="1" spans="1:19">
      <c r="A198" s="18"/>
      <c r="O198" s="73"/>
    </row>
    <row r="199" hidden="1" customHeight="1" spans="1:19">
      <c r="A199" s="18"/>
    </row>
    <row r="200" hidden="1" customHeight="1" spans="1:19">
      <c r="A200" s="18"/>
    </row>
    <row r="201" hidden="1" customHeight="1" spans="1:19">
      <c r="A201" s="18"/>
    </row>
    <row r="202" ht="23" hidden="1" customHeight="1" spans="1:19">
      <c r="A202" s="18"/>
      <c r="O202" s="19"/>
    </row>
    <row r="203" hidden="1" customHeight="1" spans="1:19">
      <c r="A203" s="18"/>
      <c r="O203" s="19"/>
    </row>
    <row r="204" hidden="1" customHeight="1" spans="1:19">
      <c r="A204" s="18"/>
    </row>
    <row r="205" hidden="1" customHeight="1" spans="1:19">
      <c r="A205" s="18"/>
      <c r="R205" s="19"/>
      <c r="S205" s="19"/>
    </row>
    <row r="206" hidden="1" customHeight="1" spans="1:19">
      <c r="A206" s="18"/>
      <c r="R206" s="19"/>
      <c r="S206" s="19"/>
    </row>
    <row r="207" hidden="1" customHeight="1" spans="1:19">
      <c r="A207" s="18"/>
      <c r="R207" s="19"/>
      <c r="S207" s="19"/>
    </row>
    <row r="208" hidden="1" customHeight="1" spans="1:19">
      <c r="A208" s="18"/>
    </row>
    <row r="209" s="15" customFormat="1" hidden="1" customHeight="1" spans="1:21">
      <c r="A209" s="18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65"/>
      <c r="R209" s="13"/>
      <c r="S209" s="13"/>
      <c r="T209" s="13"/>
      <c r="U209" s="13"/>
    </row>
    <row r="210" ht="31" hidden="1" customHeight="1" spans="1:21">
      <c r="A210" s="18"/>
      <c r="O210" s="73"/>
    </row>
    <row r="211" hidden="1" customHeight="1" spans="1:21">
      <c r="A211" s="18"/>
    </row>
    <row r="212" hidden="1" customHeight="1" spans="1:21">
      <c r="A212" s="18"/>
    </row>
    <row r="213" ht="27" hidden="1" customHeight="1" spans="1:21">
      <c r="A213" s="18"/>
      <c r="O213" s="73"/>
      <c r="R213" s="19"/>
      <c r="S213" s="19"/>
    </row>
    <row r="214" hidden="1" customHeight="1" spans="1:21">
      <c r="A214" s="18"/>
      <c r="R214" s="19"/>
      <c r="S214" s="19"/>
    </row>
    <row r="215" hidden="1" customHeight="1" spans="1:21">
      <c r="A215" s="18"/>
    </row>
    <row r="216" hidden="1" customHeight="1" spans="1:21">
      <c r="A216" s="18"/>
      <c r="O216" s="19"/>
    </row>
    <row r="217" hidden="1" customHeight="1" spans="1:21">
      <c r="A217" s="18"/>
    </row>
    <row r="218" hidden="1" customHeight="1" spans="1:21">
      <c r="A218" s="18"/>
      <c r="B218" s="64"/>
    </row>
    <row r="219" hidden="1" customHeight="1" spans="1:21">
      <c r="A219" s="18"/>
      <c r="H219" s="65"/>
      <c r="R219" s="19"/>
      <c r="S219" s="19"/>
    </row>
    <row r="220" hidden="1" customHeight="1" spans="1:21">
      <c r="A220" s="18"/>
      <c r="R220" s="19"/>
      <c r="S220" s="19"/>
    </row>
    <row r="221" hidden="1" customHeight="1" spans="1:21">
      <c r="A221" s="18"/>
      <c r="E221" s="21"/>
    </row>
    <row r="222" s="63" customFormat="1" hidden="1" customHeight="1" spans="1:21">
      <c r="A222" s="86"/>
      <c r="B222" s="87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4"/>
      <c r="P222" s="74"/>
      <c r="Q222" s="74"/>
      <c r="R222" s="78"/>
      <c r="S222" s="78"/>
      <c r="T222" s="78"/>
      <c r="U222" s="78"/>
    </row>
    <row r="223" hidden="1" customHeight="1" spans="1:21">
      <c r="A223" s="18"/>
    </row>
    <row r="224" hidden="1" customHeight="1" spans="1:21">
      <c r="A224" s="18"/>
    </row>
    <row r="225" hidden="1" customHeight="1" spans="1:19">
      <c r="A225" s="18"/>
    </row>
    <row r="226" hidden="1" customHeight="1" spans="1:19">
      <c r="A226" s="18"/>
      <c r="O226" s="73"/>
    </row>
    <row r="227" hidden="1" customHeight="1" spans="1:19">
      <c r="A227" s="18"/>
    </row>
    <row r="228" ht="16.8" hidden="1" spans="1:19">
      <c r="A228" s="18"/>
      <c r="E228" s="21"/>
      <c r="O228" s="73"/>
    </row>
    <row r="229" ht="42" hidden="1" customHeight="1" spans="1:19">
      <c r="A229" s="18"/>
      <c r="E229" s="21"/>
      <c r="O229" s="73"/>
    </row>
    <row r="230" hidden="1" customHeight="1" spans="1:19">
      <c r="A230" s="18"/>
      <c r="O230" s="19"/>
      <c r="R230" s="19"/>
      <c r="S230" s="19"/>
    </row>
    <row r="231" hidden="1" customHeight="1" spans="1:19">
      <c r="A231" s="18"/>
      <c r="O231" s="19"/>
      <c r="R231" s="19"/>
      <c r="S231" s="19"/>
    </row>
    <row r="232" hidden="1" customHeight="1" spans="1:19">
      <c r="A232" s="18"/>
      <c r="B232" s="64"/>
    </row>
    <row r="233" hidden="1" customHeight="1" spans="1:19">
      <c r="A233" s="18"/>
    </row>
    <row r="234" hidden="1" customHeight="1" spans="1:19">
      <c r="A234" s="18"/>
    </row>
    <row r="235" hidden="1" customHeight="1" spans="1:19">
      <c r="A235" s="18"/>
    </row>
    <row r="236" hidden="1" customHeight="1" spans="1:19">
      <c r="A236" s="18"/>
      <c r="O236" s="73"/>
    </row>
    <row r="237" hidden="1" customHeight="1" spans="1:19">
      <c r="A237" s="18"/>
      <c r="R237" s="65"/>
      <c r="S237" s="65"/>
    </row>
    <row r="238" hidden="1" customHeight="1" spans="1:19">
      <c r="A238" s="18"/>
    </row>
    <row r="239" hidden="1" customHeight="1" spans="1:19">
      <c r="A239" s="18"/>
    </row>
    <row r="240" hidden="1" customHeight="1" spans="1:19">
      <c r="A240" s="18"/>
    </row>
    <row r="241" hidden="1" customHeight="1" spans="1:15">
      <c r="A241" s="18"/>
      <c r="D241" s="21"/>
      <c r="E241" s="21"/>
    </row>
    <row r="242" hidden="1" customHeight="1" spans="1:15">
      <c r="A242" s="18"/>
    </row>
    <row r="243" hidden="1" customHeight="1" spans="1:15">
      <c r="A243" s="18"/>
      <c r="O243" s="73"/>
    </row>
    <row r="244" hidden="1" customHeight="1" spans="1:15">
      <c r="A244" s="18"/>
      <c r="O244" s="19"/>
    </row>
    <row r="245" hidden="1" customHeight="1" spans="1:15">
      <c r="A245" s="18"/>
      <c r="O245" s="19"/>
    </row>
    <row r="246" hidden="1" customHeight="1" spans="1:15">
      <c r="A246" s="18"/>
    </row>
    <row r="247" hidden="1" customHeight="1" spans="1:15">
      <c r="A247" s="18"/>
    </row>
    <row r="248" hidden="1" customHeight="1" spans="1:15">
      <c r="A248" s="18"/>
      <c r="B248" s="64"/>
    </row>
    <row r="249" hidden="1" customHeight="1" spans="1:15">
      <c r="A249" s="18"/>
      <c r="B249" s="64"/>
    </row>
    <row r="250" hidden="1" customHeight="1"/>
    <row r="251" hidden="1" customHeight="1"/>
    <row r="252" hidden="1" customHeight="1"/>
    <row r="253" hidden="1" customHeight="1" spans="1:15">
      <c r="B253" s="64"/>
    </row>
    <row r="254" hidden="1" customHeight="1" spans="1:15">
      <c r="B254" s="64"/>
    </row>
    <row r="255" hidden="1" customHeight="1" spans="1:15">
      <c r="B255" s="64"/>
    </row>
    <row r="256" hidden="1" customHeight="1" spans="1:15">
      <c r="B256" s="64"/>
    </row>
    <row r="257" hidden="1" customHeight="1" spans="2:2">
      <c r="B257" s="64"/>
    </row>
    <row r="258" hidden="1" customHeight="1" spans="2:2">
      <c r="B258" s="64"/>
    </row>
    <row r="259" hidden="1" customHeight="1" spans="2:2">
      <c r="B259" s="64"/>
    </row>
    <row r="260" hidden="1" customHeight="1"/>
    <row r="261" hidden="1" customHeight="1"/>
    <row r="262" hidden="1" customHeight="1"/>
    <row r="263" hidden="1" customHeight="1"/>
    <row r="264" hidden="1" customHeight="1"/>
    <row r="265" hidden="1" customHeight="1"/>
    <row r="266" hidden="1" customHeight="1"/>
    <row r="267" hidden="1" customHeight="1"/>
    <row r="268" hidden="1" customHeight="1"/>
    <row r="269" hidden="1" customHeight="1"/>
    <row r="270" hidden="1" customHeight="1"/>
    <row r="271" hidden="1" customHeight="1"/>
    <row r="272" hidden="1" customHeight="1"/>
    <row r="273" hidden="1" customHeight="1"/>
    <row r="274" hidden="1" customHeight="1"/>
    <row r="275" hidden="1" customHeight="1"/>
    <row r="276" hidden="1" customHeight="1"/>
    <row r="277" hidden="1" customHeight="1"/>
    <row r="278" hidden="1" customHeight="1"/>
    <row r="279" hidden="1" customHeight="1"/>
    <row r="280" s="15" customFormat="1" hidden="1" customHeight="1" spans="1:21">
      <c r="A280" s="6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65"/>
      <c r="R280" s="65"/>
      <c r="S280" s="65"/>
      <c r="T280" s="13"/>
      <c r="U280" s="13"/>
    </row>
    <row r="281" hidden="1" customHeight="1"/>
    <row r="282" hidden="1" customHeight="1"/>
    <row r="283" hidden="1" customHeight="1"/>
    <row r="284" hidden="1" customHeight="1"/>
    <row r="285" hidden="1" customHeight="1"/>
    <row r="286" hidden="1" customHeight="1"/>
    <row r="287" hidden="1" customHeight="1"/>
    <row r="288" hidden="1" customHeight="1"/>
    <row r="289" hidden="1" customHeight="1"/>
    <row r="290" hidden="1" customHeight="1"/>
    <row r="291" hidden="1" customHeight="1"/>
    <row r="292" hidden="1" customHeight="1"/>
    <row r="293" hidden="1" customHeight="1"/>
    <row r="294" hidden="1" customHeight="1"/>
    <row r="295" hidden="1" customHeight="1"/>
    <row r="296" hidden="1" customHeight="1"/>
    <row r="297" hidden="1" customHeight="1"/>
    <row r="298" hidden="1" customHeight="1"/>
    <row r="299" hidden="1" customHeight="1"/>
    <row r="300" hidden="1" customHeight="1"/>
    <row r="301" hidden="1" customHeight="1"/>
    <row r="302" hidden="1" customHeight="1" spans="14:14">
      <c r="N302" s="13" t="s">
        <v>356</v>
      </c>
    </row>
  </sheetData>
  <autoFilter xmlns:etc="http://www.wps.cn/officeDocument/2017/etCustomData" ref="A1:U302" etc:filterBottomFollowUsedRange="0">
    <filterColumn colId="0">
      <filters>
        <dateGroupItem year="2026" month="7" day="12" dateTimeGrouping="day"/>
      </filters>
    </filterColumn>
    <extLst/>
  </autoFilter>
  <sortState ref="E2:E44">
    <sortCondition ref="E44"/>
  </sortState>
  <conditionalFormatting sqref="B1">
    <cfRule type="duplicateValues" dxfId="0" priority="1"/>
  </conditionalFormatting>
  <dataValidations count="4">
    <dataValidation type="list" allowBlank="1" showInputMessage="1" showErrorMessage="1" sqref="Q105:T105 Q2:S104 Q106:S152 Q153:T154 Q155:S1048576">
      <formula1>"是,否"</formula1>
    </dataValidation>
    <dataValidation type="list" allowBlank="1" showInputMessage="1" showErrorMessage="1" sqref="C2:C61 C63:C191 C193:C1048576">
      <formula1>"会籍收入,私教收入,教练班收入,水吧收入,美团收入,抖音收入,游泳装备,其他收入,刷单"</formula1>
    </dataValidation>
    <dataValidation type="list" allowBlank="1" showInputMessage="1" showErrorMessage="1" sqref="F2:F1048576">
      <formula1>"月卡,季卡,半年卡,年卡,双年卡,三年卡,亲子卡,家庭卡,学期卡,学年卡,双学年卡,三学年卡,游泳培训1V1,游泳培训1V2,游泳培训1V3,游泳培训班,次卡,常规课,特色课,长训班,包月课,定金,周卡,体验课,转卡费"</formula1>
    </dataValidation>
    <dataValidation type="list" allowBlank="1" showInputMessage="1" showErrorMessage="1" sqref="I2:I1048576">
      <formula1>"微信,支付宝,POS,现金"</formula1>
    </dataValidation>
  </dataValidations>
  <pageMargins left="0.75" right="0.75" top="1" bottom="1" header="0.5" footer="0.5"/>
  <pageSetup paperSize="9" scale="10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workbookViewId="0">
      <pane ySplit="4" topLeftCell="A7" activePane="bottomLeft" state="frozen"/>
      <selection/>
      <selection pane="bottomLeft" activeCell="R18" sqref="R18:S18"/>
    </sheetView>
  </sheetViews>
  <sheetFormatPr defaultColWidth="9" defaultRowHeight="15" customHeight="1"/>
  <cols>
    <col min="1" max="1" width="12.875" style="7" customWidth="1"/>
    <col min="2" max="17" width="9" style="7"/>
    <col min="18" max="19" width="9.375" style="7" customWidth="1"/>
    <col min="20" max="22" width="12.625" style="7" customWidth="1"/>
    <col min="23" max="23" width="18.625" style="7" customWidth="1"/>
  </cols>
  <sheetData>
    <row r="1" ht="25" customHeight="1" spans="1:23">
      <c r="A1" s="51" t="s">
        <v>15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52"/>
    </row>
    <row r="2" ht="20" customHeight="1" spans="1:23">
      <c r="A2" s="4" t="s">
        <v>42</v>
      </c>
      <c r="B2" s="53" t="s">
        <v>357</v>
      </c>
      <c r="C2" s="53"/>
      <c r="D2" s="54" t="s">
        <v>358</v>
      </c>
      <c r="E2" s="54"/>
      <c r="F2" s="54" t="s">
        <v>359</v>
      </c>
      <c r="G2" s="54"/>
      <c r="H2" s="54" t="s">
        <v>360</v>
      </c>
      <c r="I2" s="54"/>
      <c r="J2" s="54" t="s">
        <v>361</v>
      </c>
      <c r="K2" s="54"/>
      <c r="L2" s="54" t="s">
        <v>362</v>
      </c>
      <c r="M2" s="54"/>
      <c r="N2" s="54" t="s">
        <v>363</v>
      </c>
      <c r="O2" s="54"/>
      <c r="P2" s="54" t="s">
        <v>364</v>
      </c>
      <c r="Q2" s="54"/>
      <c r="R2" s="55" t="s">
        <v>365</v>
      </c>
      <c r="S2" s="56"/>
      <c r="T2" s="40" t="s">
        <v>366</v>
      </c>
      <c r="U2" s="40" t="s">
        <v>367</v>
      </c>
      <c r="V2" s="40" t="s">
        <v>368</v>
      </c>
      <c r="W2" s="40" t="s">
        <v>41</v>
      </c>
    </row>
    <row r="3" ht="20" customHeight="1" spans="1:23">
      <c r="A3" s="4"/>
      <c r="B3" s="40" t="s">
        <v>369</v>
      </c>
      <c r="C3" s="40" t="s">
        <v>370</v>
      </c>
      <c r="D3" s="40" t="s">
        <v>369</v>
      </c>
      <c r="E3" s="40" t="s">
        <v>370</v>
      </c>
      <c r="F3" s="40" t="s">
        <v>369</v>
      </c>
      <c r="G3" s="40" t="s">
        <v>370</v>
      </c>
      <c r="H3" s="40" t="s">
        <v>369</v>
      </c>
      <c r="I3" s="40" t="s">
        <v>370</v>
      </c>
      <c r="J3" s="40" t="s">
        <v>369</v>
      </c>
      <c r="K3" s="40" t="s">
        <v>370</v>
      </c>
      <c r="L3" s="40" t="s">
        <v>369</v>
      </c>
      <c r="M3" s="40" t="s">
        <v>370</v>
      </c>
      <c r="N3" s="40" t="s">
        <v>369</v>
      </c>
      <c r="O3" s="40" t="s">
        <v>370</v>
      </c>
      <c r="P3" s="40" t="s">
        <v>369</v>
      </c>
      <c r="Q3" s="40" t="s">
        <v>370</v>
      </c>
      <c r="R3" s="40" t="s">
        <v>369</v>
      </c>
      <c r="S3" s="40" t="s">
        <v>370</v>
      </c>
      <c r="T3" s="40"/>
      <c r="U3" s="40"/>
      <c r="V3" s="40"/>
      <c r="W3" s="40"/>
    </row>
    <row r="4" ht="20" customHeight="1" spans="1:23">
      <c r="A4" s="4"/>
      <c r="B4" s="57">
        <v>0.95</v>
      </c>
      <c r="C4" s="57">
        <v>2</v>
      </c>
      <c r="D4" s="40">
        <v>0.513</v>
      </c>
      <c r="E4" s="40">
        <v>1</v>
      </c>
      <c r="F4" s="40">
        <v>4</v>
      </c>
      <c r="G4" s="40">
        <v>6</v>
      </c>
      <c r="H4" s="40">
        <v>3.73</v>
      </c>
      <c r="I4" s="40">
        <v>6</v>
      </c>
      <c r="J4" s="40">
        <v>3.6</v>
      </c>
      <c r="K4" s="40">
        <v>6</v>
      </c>
      <c r="L4" s="40">
        <v>3.6</v>
      </c>
      <c r="M4" s="40">
        <v>6</v>
      </c>
      <c r="N4" s="40">
        <v>3.6</v>
      </c>
      <c r="O4" s="40">
        <v>6</v>
      </c>
      <c r="P4" s="40">
        <v>4.5</v>
      </c>
      <c r="Q4" s="40">
        <v>7</v>
      </c>
      <c r="R4" s="40">
        <v>3.6</v>
      </c>
      <c r="S4" s="40">
        <v>6</v>
      </c>
      <c r="T4" s="40"/>
      <c r="U4" s="40"/>
      <c r="V4" s="40"/>
      <c r="W4" s="40"/>
    </row>
    <row r="5" ht="25" customHeight="1" spans="1:23">
      <c r="A5" s="43" t="s">
        <v>371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58"/>
      <c r="S5" s="59"/>
      <c r="T5" s="44">
        <f>$C$4*B5+$E$4*D5+$G$4*F5+$I$4*H5+$K$4*J5+$M$4*L5+$O$4*N5+$Q$4*P5+$S$4*R5</f>
        <v>0</v>
      </c>
      <c r="U5" s="44">
        <f>$B$4*B5+$D$4*D5+$F$4*F5+$H$4*H5+$J$4*J5+$L$4*L5+$N$4*N5+$P$4*P5+$R$4*R5</f>
        <v>0</v>
      </c>
      <c r="V5" s="44">
        <f t="shared" ref="V5:V36" si="0">T5-U5</f>
        <v>0</v>
      </c>
      <c r="W5" s="44"/>
    </row>
    <row r="6" customHeight="1" spans="1:23">
      <c r="A6" s="45">
        <v>46204</v>
      </c>
      <c r="B6" s="44">
        <v>10</v>
      </c>
      <c r="C6" s="44"/>
      <c r="D6" s="44">
        <v>1</v>
      </c>
      <c r="E6" s="44"/>
      <c r="F6" s="44">
        <v>1</v>
      </c>
      <c r="G6" s="44"/>
      <c r="H6" s="44">
        <v>1</v>
      </c>
      <c r="I6" s="44"/>
      <c r="J6" s="44">
        <v>2</v>
      </c>
      <c r="K6" s="44"/>
      <c r="L6" s="44">
        <v>0</v>
      </c>
      <c r="M6" s="44"/>
      <c r="N6" s="44">
        <v>0</v>
      </c>
      <c r="O6" s="44"/>
      <c r="P6" s="44">
        <v>0</v>
      </c>
      <c r="Q6" s="44"/>
      <c r="R6" s="58">
        <v>1</v>
      </c>
      <c r="S6" s="59"/>
      <c r="T6" s="44">
        <f t="shared" ref="T6:T36" si="1">$C$4*B6+$E$4*D6+$G$4*F6+$I$4*H6+$K$4*J6+$M$4*L6+$O$4*N6+$Q$4*P6+$S$4*R6</f>
        <v>51</v>
      </c>
      <c r="U6" s="44">
        <f>$B$4*B6+$D$4*D6+$F$4*F6+$H$4*H6+$J$4*J6+$L$4*L6+$N$4*N6+$P$4*P6+$R$4*R6</f>
        <v>28.543</v>
      </c>
      <c r="V6" s="44">
        <f t="shared" si="0"/>
        <v>22.457</v>
      </c>
      <c r="W6" s="44"/>
    </row>
    <row r="7" customHeight="1" spans="1:23">
      <c r="A7" s="45">
        <v>46205</v>
      </c>
      <c r="B7" s="44">
        <v>24</v>
      </c>
      <c r="C7" s="44"/>
      <c r="D7" s="44">
        <v>1</v>
      </c>
      <c r="E7" s="44"/>
      <c r="F7" s="44">
        <v>0</v>
      </c>
      <c r="G7" s="44"/>
      <c r="H7" s="44">
        <v>0</v>
      </c>
      <c r="I7" s="44"/>
      <c r="J7" s="44">
        <v>1</v>
      </c>
      <c r="K7" s="44"/>
      <c r="L7" s="44">
        <v>1</v>
      </c>
      <c r="M7" s="44"/>
      <c r="N7" s="44">
        <v>0</v>
      </c>
      <c r="O7" s="44"/>
      <c r="P7" s="44">
        <v>0</v>
      </c>
      <c r="Q7" s="44"/>
      <c r="R7" s="58">
        <v>0</v>
      </c>
      <c r="S7" s="59"/>
      <c r="T7" s="44">
        <f t="shared" si="1"/>
        <v>61</v>
      </c>
      <c r="U7" s="44">
        <f t="shared" ref="U6:U36" si="2">$B$4*B7+$D$4*D7+$F$4*F7+$H$4*H7+$J$4*J7+$L$4*L7+$N$4*N7+$P$4*P7+$R$4*R7</f>
        <v>30.513</v>
      </c>
      <c r="V7" s="44">
        <f t="shared" si="0"/>
        <v>30.487</v>
      </c>
      <c r="W7" s="44"/>
    </row>
    <row r="8" customHeight="1" spans="1:23">
      <c r="A8" s="45">
        <v>46206</v>
      </c>
      <c r="B8" s="44">
        <v>24</v>
      </c>
      <c r="C8" s="44"/>
      <c r="D8" s="44">
        <v>2</v>
      </c>
      <c r="E8" s="44"/>
      <c r="F8" s="44">
        <v>2</v>
      </c>
      <c r="G8" s="44"/>
      <c r="H8" s="44">
        <v>0</v>
      </c>
      <c r="I8" s="44"/>
      <c r="J8" s="44">
        <v>1</v>
      </c>
      <c r="K8" s="44"/>
      <c r="L8" s="44">
        <v>2</v>
      </c>
      <c r="M8" s="44"/>
      <c r="N8" s="44">
        <v>0</v>
      </c>
      <c r="O8" s="44"/>
      <c r="P8" s="44">
        <v>1</v>
      </c>
      <c r="Q8" s="44"/>
      <c r="R8" s="58">
        <v>0</v>
      </c>
      <c r="S8" s="59"/>
      <c r="T8" s="44">
        <f t="shared" si="1"/>
        <v>87</v>
      </c>
      <c r="U8" s="44">
        <f t="shared" si="2"/>
        <v>47.126</v>
      </c>
      <c r="V8" s="44">
        <f t="shared" si="0"/>
        <v>39.874</v>
      </c>
      <c r="W8" s="44"/>
    </row>
    <row r="9" customHeight="1" spans="1:23">
      <c r="A9" s="45">
        <v>46207</v>
      </c>
      <c r="B9" s="44">
        <v>14</v>
      </c>
      <c r="C9" s="44"/>
      <c r="D9" s="44">
        <v>2</v>
      </c>
      <c r="E9" s="44"/>
      <c r="F9" s="44">
        <v>1</v>
      </c>
      <c r="G9" s="44"/>
      <c r="H9" s="44">
        <v>0</v>
      </c>
      <c r="I9" s="44"/>
      <c r="J9" s="44">
        <v>0</v>
      </c>
      <c r="K9" s="44"/>
      <c r="L9" s="44">
        <v>1</v>
      </c>
      <c r="M9" s="44"/>
      <c r="N9" s="44">
        <v>0</v>
      </c>
      <c r="O9" s="44"/>
      <c r="P9" s="44">
        <v>0</v>
      </c>
      <c r="Q9" s="44"/>
      <c r="R9" s="58">
        <v>1</v>
      </c>
      <c r="S9" s="59"/>
      <c r="T9" s="44">
        <f t="shared" si="1"/>
        <v>48</v>
      </c>
      <c r="U9" s="44">
        <f t="shared" si="2"/>
        <v>25.526</v>
      </c>
      <c r="V9" s="44">
        <f t="shared" si="0"/>
        <v>22.474</v>
      </c>
      <c r="W9" s="44"/>
    </row>
    <row r="10" customHeight="1" spans="1:23">
      <c r="A10" s="45">
        <v>46208</v>
      </c>
      <c r="B10" s="44">
        <v>20</v>
      </c>
      <c r="C10" s="44"/>
      <c r="D10" s="44">
        <v>0</v>
      </c>
      <c r="E10" s="44"/>
      <c r="F10" s="44">
        <v>1</v>
      </c>
      <c r="G10" s="44"/>
      <c r="H10" s="44">
        <v>0</v>
      </c>
      <c r="I10" s="44"/>
      <c r="J10" s="44">
        <v>1</v>
      </c>
      <c r="K10" s="44"/>
      <c r="L10" s="44">
        <v>1</v>
      </c>
      <c r="M10" s="44"/>
      <c r="N10" s="44">
        <v>0</v>
      </c>
      <c r="O10" s="44"/>
      <c r="P10" s="44">
        <v>0</v>
      </c>
      <c r="Q10" s="44"/>
      <c r="R10" s="58">
        <v>0</v>
      </c>
      <c r="S10" s="59"/>
      <c r="T10" s="44">
        <f t="shared" si="1"/>
        <v>58</v>
      </c>
      <c r="U10" s="44">
        <f t="shared" si="2"/>
        <v>30.2</v>
      </c>
      <c r="V10" s="44">
        <f t="shared" si="0"/>
        <v>27.8</v>
      </c>
      <c r="W10" s="44"/>
    </row>
    <row r="11" customHeight="1" spans="1:23">
      <c r="A11" s="45">
        <v>46209</v>
      </c>
      <c r="B11" s="44">
        <v>27</v>
      </c>
      <c r="C11" s="44"/>
      <c r="D11" s="44">
        <v>2</v>
      </c>
      <c r="E11" s="44"/>
      <c r="F11" s="44">
        <v>1</v>
      </c>
      <c r="G11" s="44"/>
      <c r="H11" s="44">
        <v>1</v>
      </c>
      <c r="I11" s="44"/>
      <c r="J11" s="44">
        <v>0</v>
      </c>
      <c r="K11" s="44"/>
      <c r="L11" s="44">
        <v>1</v>
      </c>
      <c r="M11" s="44"/>
      <c r="N11" s="44">
        <v>0</v>
      </c>
      <c r="O11" s="44"/>
      <c r="P11" s="44">
        <v>0</v>
      </c>
      <c r="Q11" s="44"/>
      <c r="R11" s="58">
        <v>0</v>
      </c>
      <c r="S11" s="59"/>
      <c r="T11" s="44">
        <f t="shared" si="1"/>
        <v>74</v>
      </c>
      <c r="U11" s="44">
        <f t="shared" si="2"/>
        <v>38.006</v>
      </c>
      <c r="V11" s="44">
        <f t="shared" si="0"/>
        <v>35.994</v>
      </c>
      <c r="W11" s="44"/>
    </row>
    <row r="12" customHeight="1" spans="1:23">
      <c r="A12" s="45">
        <v>46210</v>
      </c>
      <c r="B12" s="44">
        <v>23</v>
      </c>
      <c r="C12" s="44"/>
      <c r="D12" s="44">
        <v>0</v>
      </c>
      <c r="E12" s="44"/>
      <c r="F12" s="44">
        <v>1</v>
      </c>
      <c r="G12" s="44"/>
      <c r="H12" s="44">
        <v>1</v>
      </c>
      <c r="I12" s="44"/>
      <c r="J12" s="44">
        <v>0</v>
      </c>
      <c r="K12" s="44"/>
      <c r="L12" s="44">
        <v>0</v>
      </c>
      <c r="M12" s="44"/>
      <c r="N12" s="44">
        <v>0</v>
      </c>
      <c r="O12" s="44"/>
      <c r="P12" s="44">
        <v>0</v>
      </c>
      <c r="Q12" s="44"/>
      <c r="R12" s="58">
        <v>0</v>
      </c>
      <c r="S12" s="59"/>
      <c r="T12" s="44">
        <f t="shared" si="1"/>
        <v>58</v>
      </c>
      <c r="U12" s="44">
        <f t="shared" si="2"/>
        <v>29.58</v>
      </c>
      <c r="V12" s="44">
        <f t="shared" si="0"/>
        <v>28.42</v>
      </c>
      <c r="W12" s="44"/>
    </row>
    <row r="13" customHeight="1" spans="1:23">
      <c r="A13" s="45">
        <v>46211</v>
      </c>
      <c r="B13" s="44">
        <v>21</v>
      </c>
      <c r="C13" s="44"/>
      <c r="D13" s="44">
        <v>1</v>
      </c>
      <c r="E13" s="44"/>
      <c r="F13" s="44">
        <v>1</v>
      </c>
      <c r="G13" s="44"/>
      <c r="H13" s="44">
        <v>1</v>
      </c>
      <c r="I13" s="44"/>
      <c r="J13" s="44">
        <v>0</v>
      </c>
      <c r="K13" s="44"/>
      <c r="L13" s="44">
        <v>2</v>
      </c>
      <c r="M13" s="44"/>
      <c r="N13" s="44">
        <v>1</v>
      </c>
      <c r="O13" s="44"/>
      <c r="P13" s="44">
        <v>0</v>
      </c>
      <c r="Q13" s="44"/>
      <c r="R13" s="58">
        <v>2</v>
      </c>
      <c r="S13" s="59"/>
      <c r="T13" s="44">
        <f t="shared" si="1"/>
        <v>85</v>
      </c>
      <c r="U13" s="44">
        <f t="shared" si="2"/>
        <v>46.193</v>
      </c>
      <c r="V13" s="44">
        <f t="shared" si="0"/>
        <v>38.807</v>
      </c>
      <c r="W13" s="44"/>
    </row>
    <row r="14" customHeight="1" spans="1:23">
      <c r="A14" s="45">
        <v>46212</v>
      </c>
      <c r="B14" s="44">
        <v>14</v>
      </c>
      <c r="C14" s="44"/>
      <c r="D14" s="44">
        <v>3</v>
      </c>
      <c r="E14" s="44"/>
      <c r="F14" s="44">
        <v>0</v>
      </c>
      <c r="G14" s="44"/>
      <c r="H14" s="44">
        <v>0</v>
      </c>
      <c r="I14" s="44"/>
      <c r="J14" s="44">
        <v>0</v>
      </c>
      <c r="K14" s="44"/>
      <c r="L14" s="44">
        <v>0</v>
      </c>
      <c r="M14" s="44"/>
      <c r="N14" s="44">
        <v>1</v>
      </c>
      <c r="O14" s="44"/>
      <c r="P14" s="44">
        <v>0</v>
      </c>
      <c r="Q14" s="44"/>
      <c r="R14" s="58">
        <v>1</v>
      </c>
      <c r="S14" s="59"/>
      <c r="T14" s="44">
        <f t="shared" si="1"/>
        <v>43</v>
      </c>
      <c r="U14" s="44">
        <f t="shared" si="2"/>
        <v>22.039</v>
      </c>
      <c r="V14" s="44">
        <f t="shared" si="0"/>
        <v>20.961</v>
      </c>
      <c r="W14" s="60"/>
    </row>
    <row r="15" ht="23" customHeight="1" spans="1:23">
      <c r="A15" s="45">
        <v>46213</v>
      </c>
      <c r="B15" s="44">
        <v>12</v>
      </c>
      <c r="C15" s="44"/>
      <c r="D15" s="44">
        <v>0</v>
      </c>
      <c r="E15" s="44"/>
      <c r="F15" s="44">
        <v>2</v>
      </c>
      <c r="G15" s="44"/>
      <c r="H15" s="44">
        <v>1</v>
      </c>
      <c r="I15" s="44"/>
      <c r="J15" s="44">
        <v>1</v>
      </c>
      <c r="K15" s="44"/>
      <c r="L15" s="44">
        <v>0</v>
      </c>
      <c r="M15" s="44"/>
      <c r="N15" s="44">
        <v>1</v>
      </c>
      <c r="O15" s="44"/>
      <c r="P15" s="44">
        <v>1</v>
      </c>
      <c r="Q15" s="44"/>
      <c r="R15" s="58">
        <v>0</v>
      </c>
      <c r="S15" s="59"/>
      <c r="T15" s="44">
        <f t="shared" si="1"/>
        <v>61</v>
      </c>
      <c r="U15" s="44">
        <f t="shared" si="2"/>
        <v>34.83</v>
      </c>
      <c r="V15" s="44">
        <f t="shared" si="0"/>
        <v>26.17</v>
      </c>
      <c r="W15" s="60"/>
    </row>
    <row r="16" customHeight="1" spans="1:23">
      <c r="A16" s="45">
        <v>46214</v>
      </c>
      <c r="B16" s="44">
        <v>22</v>
      </c>
      <c r="C16" s="44"/>
      <c r="D16" s="44">
        <v>5</v>
      </c>
      <c r="E16" s="44"/>
      <c r="F16" s="44">
        <v>1</v>
      </c>
      <c r="G16" s="44"/>
      <c r="H16" s="44">
        <v>0</v>
      </c>
      <c r="I16" s="44"/>
      <c r="J16" s="44">
        <v>0</v>
      </c>
      <c r="K16" s="44"/>
      <c r="L16" s="44">
        <v>1</v>
      </c>
      <c r="M16" s="44"/>
      <c r="N16" s="44">
        <v>0</v>
      </c>
      <c r="O16" s="44"/>
      <c r="P16" s="44">
        <v>0</v>
      </c>
      <c r="Q16" s="44"/>
      <c r="R16" s="58">
        <v>0</v>
      </c>
      <c r="S16" s="59"/>
      <c r="T16" s="44">
        <f t="shared" si="1"/>
        <v>61</v>
      </c>
      <c r="U16" s="44">
        <f t="shared" si="2"/>
        <v>31.065</v>
      </c>
      <c r="V16" s="44">
        <f t="shared" si="0"/>
        <v>29.935</v>
      </c>
      <c r="W16" s="44"/>
    </row>
    <row r="17" customHeight="1" spans="1:23">
      <c r="A17" s="45">
        <v>46215</v>
      </c>
      <c r="B17" s="44">
        <v>5</v>
      </c>
      <c r="C17" s="44"/>
      <c r="D17" s="44">
        <v>1</v>
      </c>
      <c r="E17" s="44"/>
      <c r="F17" s="44">
        <v>1</v>
      </c>
      <c r="G17" s="44"/>
      <c r="H17" s="44">
        <v>0</v>
      </c>
      <c r="I17" s="44"/>
      <c r="J17" s="44">
        <v>0</v>
      </c>
      <c r="K17" s="44"/>
      <c r="L17" s="44">
        <v>0</v>
      </c>
      <c r="M17" s="44"/>
      <c r="N17" s="44">
        <v>0</v>
      </c>
      <c r="O17" s="44"/>
      <c r="P17" s="44">
        <v>0</v>
      </c>
      <c r="Q17" s="44"/>
      <c r="R17" s="58">
        <v>0</v>
      </c>
      <c r="S17" s="59"/>
      <c r="T17" s="44">
        <f t="shared" si="1"/>
        <v>17</v>
      </c>
      <c r="U17" s="44">
        <f t="shared" si="2"/>
        <v>9.263</v>
      </c>
      <c r="V17" s="44">
        <f t="shared" si="0"/>
        <v>7.737</v>
      </c>
      <c r="W17" s="44"/>
    </row>
    <row r="18" customHeight="1" spans="1:23">
      <c r="A18" s="45">
        <v>46216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58"/>
      <c r="S18" s="59"/>
      <c r="T18" s="44">
        <f t="shared" si="1"/>
        <v>0</v>
      </c>
      <c r="U18" s="44">
        <f t="shared" si="2"/>
        <v>0</v>
      </c>
      <c r="V18" s="44">
        <f t="shared" si="0"/>
        <v>0</v>
      </c>
      <c r="W18" s="44"/>
    </row>
    <row r="19" customHeight="1" spans="1:23">
      <c r="A19" s="45">
        <v>46217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58"/>
      <c r="S19" s="59"/>
      <c r="T19" s="44">
        <f t="shared" si="1"/>
        <v>0</v>
      </c>
      <c r="U19" s="44">
        <f t="shared" si="2"/>
        <v>0</v>
      </c>
      <c r="V19" s="44">
        <f t="shared" si="0"/>
        <v>0</v>
      </c>
      <c r="W19" s="44"/>
    </row>
    <row r="20" customHeight="1" spans="1:23">
      <c r="A20" s="45">
        <v>46218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58"/>
      <c r="S20" s="59"/>
      <c r="T20" s="44">
        <f t="shared" si="1"/>
        <v>0</v>
      </c>
      <c r="U20" s="44">
        <f t="shared" si="2"/>
        <v>0</v>
      </c>
      <c r="V20" s="44">
        <f t="shared" si="0"/>
        <v>0</v>
      </c>
      <c r="W20" s="44"/>
    </row>
    <row r="21" customHeight="1" spans="1:23">
      <c r="A21" s="45">
        <v>46219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58"/>
      <c r="S21" s="59"/>
      <c r="T21" s="44">
        <f t="shared" si="1"/>
        <v>0</v>
      </c>
      <c r="U21" s="44">
        <f t="shared" si="2"/>
        <v>0</v>
      </c>
      <c r="V21" s="44">
        <f t="shared" si="0"/>
        <v>0</v>
      </c>
      <c r="W21" s="44"/>
    </row>
    <row r="22" customHeight="1" spans="1:23">
      <c r="A22" s="45">
        <v>46220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58"/>
      <c r="S22" s="59"/>
      <c r="T22" s="44">
        <f t="shared" si="1"/>
        <v>0</v>
      </c>
      <c r="U22" s="44">
        <f t="shared" si="2"/>
        <v>0</v>
      </c>
      <c r="V22" s="44">
        <f t="shared" si="0"/>
        <v>0</v>
      </c>
      <c r="W22" s="44"/>
    </row>
    <row r="23" customHeight="1" spans="1:23">
      <c r="A23" s="45">
        <v>46221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58"/>
      <c r="S23" s="59"/>
      <c r="T23" s="44">
        <f t="shared" si="1"/>
        <v>0</v>
      </c>
      <c r="U23" s="44">
        <f t="shared" si="2"/>
        <v>0</v>
      </c>
      <c r="V23" s="44">
        <f t="shared" si="0"/>
        <v>0</v>
      </c>
      <c r="W23" s="44"/>
    </row>
    <row r="24" customHeight="1" spans="1:23">
      <c r="A24" s="45">
        <v>46222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58"/>
      <c r="S24" s="59"/>
      <c r="T24" s="44">
        <f t="shared" si="1"/>
        <v>0</v>
      </c>
      <c r="U24" s="44">
        <f t="shared" si="2"/>
        <v>0</v>
      </c>
      <c r="V24" s="44">
        <f t="shared" si="0"/>
        <v>0</v>
      </c>
      <c r="W24" s="44"/>
    </row>
    <row r="25" customHeight="1" spans="1:23">
      <c r="A25" s="45">
        <v>46223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58"/>
      <c r="S25" s="59"/>
      <c r="T25" s="44">
        <f t="shared" si="1"/>
        <v>0</v>
      </c>
      <c r="U25" s="44">
        <f t="shared" si="2"/>
        <v>0</v>
      </c>
      <c r="V25" s="44">
        <f t="shared" si="0"/>
        <v>0</v>
      </c>
      <c r="W25" s="44"/>
    </row>
    <row r="26" customHeight="1" spans="1:23">
      <c r="A26" s="45">
        <v>46224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58"/>
      <c r="S26" s="59"/>
      <c r="T26" s="44">
        <f t="shared" si="1"/>
        <v>0</v>
      </c>
      <c r="U26" s="44">
        <f t="shared" si="2"/>
        <v>0</v>
      </c>
      <c r="V26" s="44">
        <f t="shared" si="0"/>
        <v>0</v>
      </c>
      <c r="W26" s="44"/>
    </row>
    <row r="27" customHeight="1" spans="1:23">
      <c r="A27" s="45">
        <v>46225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58"/>
      <c r="S27" s="59"/>
      <c r="T27" s="44">
        <f t="shared" si="1"/>
        <v>0</v>
      </c>
      <c r="U27" s="44">
        <f t="shared" si="2"/>
        <v>0</v>
      </c>
      <c r="V27" s="44">
        <f t="shared" si="0"/>
        <v>0</v>
      </c>
      <c r="W27" s="44"/>
    </row>
    <row r="28" customHeight="1" spans="1:23">
      <c r="A28" s="45">
        <v>46226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58"/>
      <c r="S28" s="59"/>
      <c r="T28" s="44">
        <f t="shared" si="1"/>
        <v>0</v>
      </c>
      <c r="U28" s="44">
        <f t="shared" si="2"/>
        <v>0</v>
      </c>
      <c r="V28" s="44">
        <f t="shared" si="0"/>
        <v>0</v>
      </c>
      <c r="W28" s="44"/>
    </row>
    <row r="29" customHeight="1" spans="1:23">
      <c r="A29" s="45">
        <v>46227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58"/>
      <c r="S29" s="59"/>
      <c r="T29" s="44">
        <f t="shared" si="1"/>
        <v>0</v>
      </c>
      <c r="U29" s="44">
        <f t="shared" si="2"/>
        <v>0</v>
      </c>
      <c r="V29" s="44">
        <f t="shared" si="0"/>
        <v>0</v>
      </c>
      <c r="W29" s="44"/>
    </row>
    <row r="30" customHeight="1" spans="1:23">
      <c r="A30" s="45">
        <v>46228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58"/>
      <c r="S30" s="59"/>
      <c r="T30" s="44">
        <f t="shared" si="1"/>
        <v>0</v>
      </c>
      <c r="U30" s="44">
        <f t="shared" si="2"/>
        <v>0</v>
      </c>
      <c r="V30" s="44">
        <f t="shared" si="0"/>
        <v>0</v>
      </c>
      <c r="W30" s="44"/>
    </row>
    <row r="31" customHeight="1" spans="1:23">
      <c r="A31" s="45">
        <v>46229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58"/>
      <c r="S31" s="59"/>
      <c r="T31" s="44">
        <f t="shared" si="1"/>
        <v>0</v>
      </c>
      <c r="U31" s="44">
        <f t="shared" si="2"/>
        <v>0</v>
      </c>
      <c r="V31" s="44">
        <f t="shared" si="0"/>
        <v>0</v>
      </c>
      <c r="W31" s="44"/>
    </row>
    <row r="32" customHeight="1" spans="1:23">
      <c r="A32" s="45">
        <v>46230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58"/>
      <c r="S32" s="59"/>
      <c r="T32" s="44">
        <f t="shared" si="1"/>
        <v>0</v>
      </c>
      <c r="U32" s="44">
        <f t="shared" si="2"/>
        <v>0</v>
      </c>
      <c r="V32" s="44">
        <f t="shared" si="0"/>
        <v>0</v>
      </c>
      <c r="W32" s="44"/>
    </row>
    <row r="33" customHeight="1" spans="1:23">
      <c r="A33" s="45">
        <v>46231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58"/>
      <c r="S33" s="59"/>
      <c r="T33" s="44">
        <f t="shared" si="1"/>
        <v>0</v>
      </c>
      <c r="U33" s="44">
        <f t="shared" si="2"/>
        <v>0</v>
      </c>
      <c r="V33" s="44">
        <f t="shared" si="0"/>
        <v>0</v>
      </c>
      <c r="W33" s="44"/>
    </row>
    <row r="34" customHeight="1" spans="1:23">
      <c r="A34" s="45">
        <v>46232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58"/>
      <c r="S34" s="59"/>
      <c r="T34" s="44">
        <f t="shared" si="1"/>
        <v>0</v>
      </c>
      <c r="U34" s="44">
        <f t="shared" si="2"/>
        <v>0</v>
      </c>
      <c r="V34" s="44">
        <f t="shared" si="0"/>
        <v>0</v>
      </c>
      <c r="W34" s="44"/>
    </row>
    <row r="35" customHeight="1" spans="1:23">
      <c r="A35" s="45">
        <v>46233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58"/>
      <c r="S35" s="59"/>
      <c r="T35" s="44">
        <f t="shared" si="1"/>
        <v>0</v>
      </c>
      <c r="U35" s="44">
        <f t="shared" si="2"/>
        <v>0</v>
      </c>
      <c r="V35" s="44">
        <f t="shared" si="0"/>
        <v>0</v>
      </c>
      <c r="W35" s="44"/>
    </row>
    <row r="36" customHeight="1" spans="1:23">
      <c r="A36" s="45">
        <v>46234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58"/>
      <c r="S36" s="59"/>
      <c r="T36" s="44">
        <f t="shared" si="1"/>
        <v>0</v>
      </c>
      <c r="U36" s="44">
        <f t="shared" si="2"/>
        <v>0</v>
      </c>
      <c r="V36" s="44">
        <f t="shared" si="0"/>
        <v>0</v>
      </c>
      <c r="W36" s="44"/>
    </row>
    <row r="37" customHeight="1" spans="1:23">
      <c r="A37" s="46" t="s">
        <v>372</v>
      </c>
      <c r="B37" s="47">
        <f>SUM(B6:C36)</f>
        <v>216</v>
      </c>
      <c r="C37" s="48"/>
      <c r="D37" s="47">
        <f>SUM(D6:E36)</f>
        <v>18</v>
      </c>
      <c r="E37" s="48"/>
      <c r="F37" s="47">
        <f>SUM(F6:G36)</f>
        <v>12</v>
      </c>
      <c r="G37" s="48"/>
      <c r="H37" s="47">
        <f>SUM(H6:I36)</f>
        <v>5</v>
      </c>
      <c r="I37" s="48"/>
      <c r="J37" s="47">
        <f>SUM(J6:K36)</f>
        <v>6</v>
      </c>
      <c r="K37" s="48"/>
      <c r="L37" s="47">
        <f>SUM(L6:M36)</f>
        <v>9</v>
      </c>
      <c r="M37" s="48"/>
      <c r="N37" s="47">
        <f>SUM(N6:O36)</f>
        <v>3</v>
      </c>
      <c r="O37" s="48"/>
      <c r="P37" s="47">
        <f>SUM(P6:Q36)</f>
        <v>2</v>
      </c>
      <c r="Q37" s="48"/>
      <c r="R37" s="47">
        <f>SUM(R6:S36)</f>
        <v>5</v>
      </c>
      <c r="S37" s="48"/>
      <c r="T37" s="50">
        <f>SUM(T6:T36)</f>
        <v>704</v>
      </c>
      <c r="U37" s="50">
        <f>SUM(U6:U36)</f>
        <v>372.884</v>
      </c>
      <c r="V37" s="50">
        <f>SUM(V6:V36)</f>
        <v>331.116</v>
      </c>
      <c r="W37" s="50"/>
    </row>
    <row r="38" ht="25" customHeight="1" spans="1:23">
      <c r="A38" s="43" t="s">
        <v>373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>
        <f>$C$4*B38+$E$4*D38+$G$4*F38+$I$4*H38+$K$4*J38+$M$4*L38+$O$4*N38+$Q$4*P38</f>
        <v>0</v>
      </c>
      <c r="U38" s="44">
        <f>$B$4*B38+$D$4*D38+$F$4*F38+$H$4*H38+$J$4*J38+$L$4*L38+$N$4*N38+$P$4*P38</f>
        <v>0</v>
      </c>
      <c r="V38" s="44">
        <f>T38-U38</f>
        <v>0</v>
      </c>
      <c r="W38" s="44"/>
    </row>
    <row r="39" ht="25" customHeight="1" spans="1:23">
      <c r="A39" s="43" t="s">
        <v>374</v>
      </c>
      <c r="B39" s="44">
        <f>B5-B37+B38</f>
        <v>-216</v>
      </c>
      <c r="C39" s="44"/>
      <c r="D39" s="44">
        <f t="shared" ref="B39:F39" si="3">D5-D37+D38</f>
        <v>-18</v>
      </c>
      <c r="E39" s="44"/>
      <c r="F39" s="44">
        <f t="shared" si="3"/>
        <v>-12</v>
      </c>
      <c r="G39" s="44"/>
      <c r="H39" s="44">
        <f t="shared" ref="H39:L39" si="4">H5-H37+H38</f>
        <v>-5</v>
      </c>
      <c r="I39" s="44"/>
      <c r="J39" s="44">
        <f t="shared" si="4"/>
        <v>-6</v>
      </c>
      <c r="K39" s="44"/>
      <c r="L39" s="44">
        <f t="shared" si="4"/>
        <v>-9</v>
      </c>
      <c r="M39" s="44"/>
      <c r="N39" s="44">
        <f t="shared" ref="N39:R39" si="5">N5-N37+N38</f>
        <v>-3</v>
      </c>
      <c r="O39" s="44"/>
      <c r="P39" s="44">
        <f t="shared" si="5"/>
        <v>-2</v>
      </c>
      <c r="Q39" s="44"/>
      <c r="R39" s="44">
        <f t="shared" si="5"/>
        <v>-5</v>
      </c>
      <c r="S39" s="44"/>
      <c r="T39" s="44">
        <f>$C$4*B39+$E$4*D39+$G$4*F39+$I$4*H39+$K$4*J39+$M$4*L39+$O$4*N39+$Q$4*P39+$S$4*R39</f>
        <v>-704</v>
      </c>
      <c r="U39" s="44">
        <f>$B$4*B39+$D$4*D39+$F$4*F39+$H$4*H39+$J$4*J39+$L$4*L39+$N$4*N39+$P$4*P39+$R$4*R39</f>
        <v>-372.884</v>
      </c>
      <c r="V39" s="44">
        <f>T39-U39</f>
        <v>-331.116</v>
      </c>
      <c r="W39" s="44"/>
    </row>
    <row r="40" ht="25" customHeight="1" spans="1:23">
      <c r="A40" s="43" t="s">
        <v>371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>
        <f>$C$4*B40+$E$4*D40+$G$4*F40+$I$4*H40+$K$4*J40+$M$4*L40+$O$4*N40+$Q$4*P40</f>
        <v>0</v>
      </c>
      <c r="U40" s="44">
        <f>$B$4*B40+$D$4*D40+$F$4*F40+$H$4*H40+$J$4*J40+$L$4*L40+$N$4*N40+$P$4*P40</f>
        <v>0</v>
      </c>
      <c r="V40" s="44">
        <f>T40-U40</f>
        <v>0</v>
      </c>
      <c r="W40" s="44"/>
    </row>
  </sheetData>
  <mergeCells count="339">
    <mergeCell ref="A1:W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A2:A4"/>
    <mergeCell ref="T2:T4"/>
    <mergeCell ref="U2:U4"/>
    <mergeCell ref="V2:V4"/>
    <mergeCell ref="W2:W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workbookViewId="0">
      <pane ySplit="4" topLeftCell="A5" activePane="bottomLeft" state="frozen"/>
      <selection/>
      <selection pane="bottomLeft" activeCell="T18" sqref="T18:U18"/>
    </sheetView>
  </sheetViews>
  <sheetFormatPr defaultColWidth="9" defaultRowHeight="15" customHeight="1"/>
  <cols>
    <col min="1" max="1" width="12.875" style="7" customWidth="1"/>
    <col min="2" max="21" width="9" style="7"/>
    <col min="22" max="24" width="12.625" style="7" customWidth="1"/>
    <col min="25" max="25" width="18.625" style="7" customWidth="1"/>
  </cols>
  <sheetData>
    <row r="1" ht="25" customHeight="1" spans="1:25">
      <c r="A1" s="31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3"/>
      <c r="X1" s="33"/>
      <c r="Y1" s="34"/>
    </row>
    <row r="2" ht="20" customHeight="1" spans="1:25">
      <c r="A2" s="35" t="s">
        <v>42</v>
      </c>
      <c r="B2" s="36" t="s">
        <v>375</v>
      </c>
      <c r="C2" s="36"/>
      <c r="D2" s="37" t="s">
        <v>376</v>
      </c>
      <c r="E2" s="37"/>
      <c r="F2" s="37" t="s">
        <v>377</v>
      </c>
      <c r="G2" s="37"/>
      <c r="H2" s="37" t="s">
        <v>378</v>
      </c>
      <c r="I2" s="37"/>
      <c r="J2" s="37" t="s">
        <v>379</v>
      </c>
      <c r="K2" s="37"/>
      <c r="L2" s="37" t="s">
        <v>380</v>
      </c>
      <c r="M2" s="37"/>
      <c r="N2" s="37" t="s">
        <v>381</v>
      </c>
      <c r="O2" s="37"/>
      <c r="P2" s="37" t="s">
        <v>382</v>
      </c>
      <c r="Q2" s="37"/>
      <c r="R2" s="38" t="s">
        <v>383</v>
      </c>
      <c r="S2" s="39"/>
      <c r="T2" s="38" t="s">
        <v>384</v>
      </c>
      <c r="U2" s="39"/>
      <c r="V2" s="35" t="s">
        <v>366</v>
      </c>
      <c r="W2" s="40" t="s">
        <v>367</v>
      </c>
      <c r="X2" s="40" t="s">
        <v>368</v>
      </c>
      <c r="Y2" s="35" t="s">
        <v>41</v>
      </c>
    </row>
    <row r="3" ht="20" customHeight="1" spans="1:25">
      <c r="A3" s="35"/>
      <c r="B3" s="41" t="s">
        <v>369</v>
      </c>
      <c r="C3" s="41" t="s">
        <v>370</v>
      </c>
      <c r="D3" s="41" t="s">
        <v>369</v>
      </c>
      <c r="E3" s="41" t="s">
        <v>370</v>
      </c>
      <c r="F3" s="41" t="s">
        <v>369</v>
      </c>
      <c r="G3" s="41" t="s">
        <v>370</v>
      </c>
      <c r="H3" s="41" t="s">
        <v>369</v>
      </c>
      <c r="I3" s="41" t="s">
        <v>370</v>
      </c>
      <c r="J3" s="41" t="s">
        <v>369</v>
      </c>
      <c r="K3" s="41" t="s">
        <v>370</v>
      </c>
      <c r="L3" s="41" t="s">
        <v>369</v>
      </c>
      <c r="M3" s="41" t="s">
        <v>370</v>
      </c>
      <c r="N3" s="41" t="s">
        <v>369</v>
      </c>
      <c r="O3" s="41" t="s">
        <v>370</v>
      </c>
      <c r="P3" s="41" t="s">
        <v>369</v>
      </c>
      <c r="Q3" s="41" t="s">
        <v>370</v>
      </c>
      <c r="R3" s="41" t="s">
        <v>369</v>
      </c>
      <c r="S3" s="41" t="s">
        <v>370</v>
      </c>
      <c r="T3" s="41" t="s">
        <v>369</v>
      </c>
      <c r="U3" s="41" t="s">
        <v>370</v>
      </c>
      <c r="V3" s="35"/>
      <c r="W3" s="40"/>
      <c r="X3" s="40"/>
      <c r="Y3" s="35"/>
    </row>
    <row r="4" ht="20" customHeight="1" spans="1:25">
      <c r="A4" s="35"/>
      <c r="B4" s="42">
        <v>6.5</v>
      </c>
      <c r="C4" s="42">
        <v>20</v>
      </c>
      <c r="D4" s="41">
        <v>5</v>
      </c>
      <c r="E4" s="41">
        <v>25</v>
      </c>
      <c r="F4" s="41">
        <v>1.2</v>
      </c>
      <c r="G4" s="41">
        <v>10</v>
      </c>
      <c r="H4" s="41">
        <v>5</v>
      </c>
      <c r="I4" s="41">
        <v>30</v>
      </c>
      <c r="J4" s="41">
        <v>5</v>
      </c>
      <c r="K4" s="41">
        <v>25</v>
      </c>
      <c r="L4" s="41">
        <v>5</v>
      </c>
      <c r="M4" s="41">
        <v>25</v>
      </c>
      <c r="N4" s="41">
        <v>18</v>
      </c>
      <c r="O4" s="41">
        <v>35</v>
      </c>
      <c r="P4" s="41">
        <v>28</v>
      </c>
      <c r="Q4" s="41">
        <v>35</v>
      </c>
      <c r="R4" s="41">
        <v>22</v>
      </c>
      <c r="S4" s="41">
        <v>40</v>
      </c>
      <c r="T4" s="41">
        <v>1.5</v>
      </c>
      <c r="U4" s="41">
        <v>5</v>
      </c>
      <c r="V4" s="35"/>
      <c r="W4" s="40"/>
      <c r="X4" s="40"/>
      <c r="Y4" s="35"/>
    </row>
    <row r="5" ht="25" customHeight="1" spans="1:25">
      <c r="A5" s="43" t="s">
        <v>371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>
        <f>$C$4*B5+$E$4*D5+$G$4*F5+$I$4*H5+$K$4*J5+$M$4*L5+$O$4*N5+$U$4*T5</f>
        <v>0</v>
      </c>
      <c r="W5" s="44">
        <f>$B$4*B5+$D$4*D5+$F$4*F5+$H$4*H5+$J$4*J5+$L$4*L5+$N$4*N5+$T$4*T5</f>
        <v>0</v>
      </c>
      <c r="X5" s="44">
        <f>V5-W5</f>
        <v>0</v>
      </c>
      <c r="Y5" s="44"/>
    </row>
    <row r="6" customHeight="1" spans="1:25">
      <c r="A6" s="45">
        <v>46204</v>
      </c>
      <c r="B6" s="44">
        <v>0</v>
      </c>
      <c r="C6" s="44"/>
      <c r="D6" s="44">
        <v>0</v>
      </c>
      <c r="E6" s="44"/>
      <c r="F6" s="44">
        <v>0</v>
      </c>
      <c r="G6" s="44"/>
      <c r="H6" s="44">
        <v>0</v>
      </c>
      <c r="I6" s="44"/>
      <c r="J6" s="44">
        <v>0</v>
      </c>
      <c r="K6" s="44"/>
      <c r="L6" s="44">
        <v>0</v>
      </c>
      <c r="M6" s="44"/>
      <c r="N6" s="44">
        <v>0</v>
      </c>
      <c r="O6" s="44"/>
      <c r="P6" s="44">
        <v>0</v>
      </c>
      <c r="Q6" s="44"/>
      <c r="R6" s="44">
        <v>0</v>
      </c>
      <c r="S6" s="44"/>
      <c r="T6" s="44">
        <v>0</v>
      </c>
      <c r="U6" s="44"/>
      <c r="V6" s="44">
        <f>$C$4*B6+$E$4*D6+$G$4*F6+$I$4*H6+$K$4*J6+$M$4*L6+$O$4*N6+$U$4*T6</f>
        <v>0</v>
      </c>
      <c r="W6" s="44">
        <f>$B$4*B6+$D$4*D6+$F$4*F6+$H$4*H6+$J$4*J6+$L$4*L6+$N$4*N6+$T$4*T6</f>
        <v>0</v>
      </c>
      <c r="X6" s="44">
        <f>V6-W6</f>
        <v>0</v>
      </c>
      <c r="Y6" s="44"/>
    </row>
    <row r="7" customHeight="1" spans="1:25">
      <c r="A7" s="45">
        <v>46205</v>
      </c>
      <c r="B7" s="44">
        <v>0</v>
      </c>
      <c r="C7" s="44"/>
      <c r="D7" s="44">
        <v>0</v>
      </c>
      <c r="E7" s="44"/>
      <c r="F7" s="44">
        <v>0</v>
      </c>
      <c r="G7" s="44"/>
      <c r="H7" s="44">
        <v>0</v>
      </c>
      <c r="I7" s="44"/>
      <c r="J7" s="44">
        <v>0</v>
      </c>
      <c r="K7" s="44"/>
      <c r="L7" s="44">
        <v>0</v>
      </c>
      <c r="M7" s="44"/>
      <c r="N7" s="44">
        <v>0</v>
      </c>
      <c r="O7" s="44"/>
      <c r="P7" s="44">
        <v>0</v>
      </c>
      <c r="Q7" s="44"/>
      <c r="R7" s="44">
        <v>0</v>
      </c>
      <c r="S7" s="44"/>
      <c r="T7" s="44">
        <v>0</v>
      </c>
      <c r="U7" s="44"/>
      <c r="V7" s="44">
        <f t="shared" ref="V7:V36" si="0">$C$4*B7+$E$4*D7+$G$4*F7+$I$4*H7+$K$4*J7+$M$4*L7+$O$4*N7+$U$4*T7</f>
        <v>0</v>
      </c>
      <c r="W7" s="44">
        <f t="shared" ref="W7:W36" si="1">$B$4*B7+$D$4*D7+$F$4*F7+$H$4*H7+$J$4*J7+$L$4*L7+$N$4*N7+$T$4*T7</f>
        <v>0</v>
      </c>
      <c r="X7" s="44">
        <f t="shared" ref="X7:X36" si="2">V7-W7</f>
        <v>0</v>
      </c>
      <c r="Y7" s="44"/>
    </row>
    <row r="8" customHeight="1" spans="1:25">
      <c r="A8" s="45">
        <v>46206</v>
      </c>
      <c r="B8" s="44">
        <v>0</v>
      </c>
      <c r="C8" s="44"/>
      <c r="D8" s="44">
        <v>0</v>
      </c>
      <c r="E8" s="44"/>
      <c r="F8" s="44">
        <v>0</v>
      </c>
      <c r="G8" s="44"/>
      <c r="H8" s="44">
        <v>0</v>
      </c>
      <c r="I8" s="44"/>
      <c r="J8" s="44">
        <v>0</v>
      </c>
      <c r="K8" s="44"/>
      <c r="L8" s="44">
        <v>0</v>
      </c>
      <c r="M8" s="44"/>
      <c r="N8" s="44">
        <v>0</v>
      </c>
      <c r="O8" s="44"/>
      <c r="P8" s="44">
        <v>0</v>
      </c>
      <c r="Q8" s="44"/>
      <c r="R8" s="44">
        <v>0</v>
      </c>
      <c r="S8" s="44"/>
      <c r="T8" s="44">
        <v>0</v>
      </c>
      <c r="U8" s="44"/>
      <c r="V8" s="44">
        <f t="shared" si="0"/>
        <v>0</v>
      </c>
      <c r="W8" s="44">
        <f t="shared" si="1"/>
        <v>0</v>
      </c>
      <c r="X8" s="44">
        <f t="shared" si="2"/>
        <v>0</v>
      </c>
      <c r="Y8" s="44"/>
    </row>
    <row r="9" customHeight="1" spans="1:25">
      <c r="A9" s="45">
        <v>46207</v>
      </c>
      <c r="B9" s="44">
        <v>0</v>
      </c>
      <c r="C9" s="44"/>
      <c r="D9" s="44">
        <v>0</v>
      </c>
      <c r="E9" s="44"/>
      <c r="F9" s="44">
        <v>3</v>
      </c>
      <c r="G9" s="44"/>
      <c r="H9" s="44">
        <v>0</v>
      </c>
      <c r="I9" s="44"/>
      <c r="J9" s="44">
        <v>0</v>
      </c>
      <c r="K9" s="44"/>
      <c r="L9" s="44">
        <v>0</v>
      </c>
      <c r="M9" s="44"/>
      <c r="N9" s="44">
        <v>0</v>
      </c>
      <c r="O9" s="44"/>
      <c r="P9" s="44">
        <v>0</v>
      </c>
      <c r="Q9" s="44"/>
      <c r="R9" s="44">
        <v>0</v>
      </c>
      <c r="S9" s="44"/>
      <c r="T9" s="44">
        <v>1</v>
      </c>
      <c r="U9" s="44"/>
      <c r="V9" s="44">
        <f t="shared" si="0"/>
        <v>35</v>
      </c>
      <c r="W9" s="44">
        <f t="shared" si="1"/>
        <v>5.1</v>
      </c>
      <c r="X9" s="44">
        <f t="shared" si="2"/>
        <v>29.9</v>
      </c>
      <c r="Y9" s="44"/>
    </row>
    <row r="10" customHeight="1" spans="1:25">
      <c r="A10" s="45">
        <v>46208</v>
      </c>
      <c r="B10" s="44">
        <v>0</v>
      </c>
      <c r="C10" s="44"/>
      <c r="D10" s="44">
        <v>0</v>
      </c>
      <c r="E10" s="44"/>
      <c r="F10" s="44">
        <v>4</v>
      </c>
      <c r="G10" s="44"/>
      <c r="H10" s="44">
        <v>0</v>
      </c>
      <c r="I10" s="44"/>
      <c r="J10" s="44">
        <v>0</v>
      </c>
      <c r="K10" s="44"/>
      <c r="L10" s="44">
        <v>0</v>
      </c>
      <c r="M10" s="44"/>
      <c r="N10" s="44">
        <v>0</v>
      </c>
      <c r="O10" s="44"/>
      <c r="P10" s="44">
        <v>0</v>
      </c>
      <c r="Q10" s="44"/>
      <c r="R10" s="44">
        <v>0</v>
      </c>
      <c r="S10" s="44"/>
      <c r="T10" s="44">
        <v>0</v>
      </c>
      <c r="U10" s="44"/>
      <c r="V10" s="44">
        <f t="shared" si="0"/>
        <v>40</v>
      </c>
      <c r="W10" s="44">
        <f t="shared" si="1"/>
        <v>4.8</v>
      </c>
      <c r="X10" s="44">
        <f t="shared" si="2"/>
        <v>35.2</v>
      </c>
      <c r="Y10" s="44"/>
    </row>
    <row r="11" customHeight="1" spans="1:25">
      <c r="A11" s="45">
        <v>46209</v>
      </c>
      <c r="B11" s="44">
        <v>2</v>
      </c>
      <c r="C11" s="44"/>
      <c r="D11" s="44">
        <v>0</v>
      </c>
      <c r="E11" s="44"/>
      <c r="F11" s="44">
        <v>1</v>
      </c>
      <c r="G11" s="44"/>
      <c r="H11" s="44">
        <v>0</v>
      </c>
      <c r="I11" s="44"/>
      <c r="J11" s="44">
        <v>0</v>
      </c>
      <c r="K11" s="44"/>
      <c r="L11" s="44">
        <v>0</v>
      </c>
      <c r="M11" s="44"/>
      <c r="N11" s="44">
        <v>0</v>
      </c>
      <c r="O11" s="44"/>
      <c r="P11" s="44">
        <v>0</v>
      </c>
      <c r="Q11" s="44"/>
      <c r="R11" s="44">
        <v>0</v>
      </c>
      <c r="S11" s="44"/>
      <c r="T11" s="44">
        <v>0</v>
      </c>
      <c r="U11" s="44"/>
      <c r="V11" s="44">
        <f t="shared" si="0"/>
        <v>50</v>
      </c>
      <c r="W11" s="44">
        <f t="shared" si="1"/>
        <v>14.2</v>
      </c>
      <c r="X11" s="44">
        <f t="shared" si="2"/>
        <v>35.8</v>
      </c>
      <c r="Y11" s="44"/>
    </row>
    <row r="12" customHeight="1" spans="1:25">
      <c r="A12" s="45">
        <v>46210</v>
      </c>
      <c r="B12" s="44">
        <v>0</v>
      </c>
      <c r="C12" s="44"/>
      <c r="D12" s="44">
        <v>1</v>
      </c>
      <c r="E12" s="44"/>
      <c r="F12" s="44">
        <v>2</v>
      </c>
      <c r="G12" s="44"/>
      <c r="H12" s="44">
        <v>0</v>
      </c>
      <c r="I12" s="44"/>
      <c r="J12" s="44">
        <v>0</v>
      </c>
      <c r="K12" s="44"/>
      <c r="L12" s="44">
        <v>0</v>
      </c>
      <c r="M12" s="44"/>
      <c r="N12" s="44">
        <v>0</v>
      </c>
      <c r="O12" s="44"/>
      <c r="P12" s="44">
        <v>0</v>
      </c>
      <c r="Q12" s="44"/>
      <c r="R12" s="44">
        <v>0</v>
      </c>
      <c r="S12" s="44"/>
      <c r="T12" s="44">
        <v>0</v>
      </c>
      <c r="U12" s="44"/>
      <c r="V12" s="44">
        <f t="shared" si="0"/>
        <v>45</v>
      </c>
      <c r="W12" s="44">
        <f t="shared" si="1"/>
        <v>7.4</v>
      </c>
      <c r="X12" s="44">
        <f t="shared" si="2"/>
        <v>37.6</v>
      </c>
      <c r="Y12" s="44"/>
    </row>
    <row r="13" customHeight="1" spans="1:25">
      <c r="A13" s="45">
        <v>46211</v>
      </c>
      <c r="B13" s="44">
        <v>3</v>
      </c>
      <c r="C13" s="44"/>
      <c r="D13" s="44">
        <v>0</v>
      </c>
      <c r="E13" s="44"/>
      <c r="F13" s="44">
        <v>3</v>
      </c>
      <c r="G13" s="44"/>
      <c r="H13" s="44">
        <v>0</v>
      </c>
      <c r="I13" s="44"/>
      <c r="J13" s="44">
        <v>0</v>
      </c>
      <c r="K13" s="44"/>
      <c r="L13" s="44">
        <v>2</v>
      </c>
      <c r="M13" s="44"/>
      <c r="N13" s="44">
        <v>0</v>
      </c>
      <c r="O13" s="44"/>
      <c r="P13" s="44">
        <v>0</v>
      </c>
      <c r="Q13" s="44"/>
      <c r="R13" s="44">
        <v>0</v>
      </c>
      <c r="S13" s="44"/>
      <c r="T13" s="44">
        <v>0</v>
      </c>
      <c r="U13" s="44"/>
      <c r="V13" s="44">
        <f t="shared" si="0"/>
        <v>140</v>
      </c>
      <c r="W13" s="44">
        <f t="shared" si="1"/>
        <v>33.1</v>
      </c>
      <c r="X13" s="44">
        <f t="shared" si="2"/>
        <v>106.9</v>
      </c>
      <c r="Y13" s="44"/>
    </row>
    <row r="14" customHeight="1" spans="1:25">
      <c r="A14" s="45">
        <v>46212</v>
      </c>
      <c r="B14" s="44">
        <v>0</v>
      </c>
      <c r="C14" s="44"/>
      <c r="D14" s="44">
        <v>3</v>
      </c>
      <c r="E14" s="44"/>
      <c r="F14" s="44">
        <v>0</v>
      </c>
      <c r="G14" s="44"/>
      <c r="H14" s="44">
        <v>1</v>
      </c>
      <c r="I14" s="44"/>
      <c r="J14" s="44">
        <v>0</v>
      </c>
      <c r="K14" s="44"/>
      <c r="L14" s="44">
        <v>0</v>
      </c>
      <c r="M14" s="44"/>
      <c r="N14" s="44">
        <v>0</v>
      </c>
      <c r="O14" s="44"/>
      <c r="P14" s="44">
        <v>0</v>
      </c>
      <c r="Q14" s="44"/>
      <c r="R14" s="44">
        <v>0</v>
      </c>
      <c r="S14" s="44"/>
      <c r="T14" s="44">
        <v>0</v>
      </c>
      <c r="U14" s="44"/>
      <c r="V14" s="44">
        <f t="shared" si="0"/>
        <v>105</v>
      </c>
      <c r="W14" s="44">
        <f t="shared" si="1"/>
        <v>20</v>
      </c>
      <c r="X14" s="44">
        <f t="shared" si="2"/>
        <v>85</v>
      </c>
      <c r="Y14" s="44"/>
    </row>
    <row r="15" customHeight="1" spans="1:25">
      <c r="A15" s="45">
        <v>46213</v>
      </c>
      <c r="B15" s="44">
        <v>0</v>
      </c>
      <c r="C15" s="44"/>
      <c r="D15" s="44">
        <v>0</v>
      </c>
      <c r="E15" s="44"/>
      <c r="F15" s="44">
        <v>0</v>
      </c>
      <c r="G15" s="44"/>
      <c r="H15" s="44">
        <v>0</v>
      </c>
      <c r="I15" s="44"/>
      <c r="J15" s="44">
        <v>0</v>
      </c>
      <c r="K15" s="44"/>
      <c r="L15" s="44">
        <v>0</v>
      </c>
      <c r="M15" s="44"/>
      <c r="N15" s="44">
        <v>0</v>
      </c>
      <c r="O15" s="44"/>
      <c r="P15" s="44">
        <v>0</v>
      </c>
      <c r="Q15" s="44"/>
      <c r="R15" s="44">
        <v>0</v>
      </c>
      <c r="S15" s="44"/>
      <c r="T15" s="44">
        <v>1</v>
      </c>
      <c r="U15" s="44"/>
      <c r="V15" s="44">
        <f t="shared" si="0"/>
        <v>5</v>
      </c>
      <c r="W15" s="44">
        <f t="shared" si="1"/>
        <v>1.5</v>
      </c>
      <c r="X15" s="44">
        <f t="shared" si="2"/>
        <v>3.5</v>
      </c>
      <c r="Y15" s="44"/>
    </row>
    <row r="16" customHeight="1" spans="1:25">
      <c r="A16" s="45">
        <v>46214</v>
      </c>
      <c r="B16" s="44">
        <v>0</v>
      </c>
      <c r="C16" s="44"/>
      <c r="D16" s="44">
        <v>0</v>
      </c>
      <c r="E16" s="44"/>
      <c r="F16" s="44">
        <v>4</v>
      </c>
      <c r="G16" s="44"/>
      <c r="H16" s="44">
        <v>0</v>
      </c>
      <c r="I16" s="44"/>
      <c r="J16" s="44">
        <v>0</v>
      </c>
      <c r="K16" s="44"/>
      <c r="L16" s="44">
        <v>0</v>
      </c>
      <c r="M16" s="44"/>
      <c r="N16" s="44">
        <v>0</v>
      </c>
      <c r="O16" s="44"/>
      <c r="P16" s="44">
        <v>0</v>
      </c>
      <c r="Q16" s="44"/>
      <c r="R16" s="44">
        <v>0</v>
      </c>
      <c r="S16" s="44"/>
      <c r="T16" s="44">
        <v>1</v>
      </c>
      <c r="U16" s="44"/>
      <c r="V16" s="44">
        <f t="shared" si="0"/>
        <v>45</v>
      </c>
      <c r="W16" s="44">
        <f t="shared" si="1"/>
        <v>6.3</v>
      </c>
      <c r="X16" s="44">
        <f t="shared" si="2"/>
        <v>38.7</v>
      </c>
      <c r="Y16" s="44"/>
    </row>
    <row r="17" customHeight="1" spans="1:25">
      <c r="A17" s="45">
        <v>46215</v>
      </c>
      <c r="B17" s="44">
        <v>0</v>
      </c>
      <c r="C17" s="44"/>
      <c r="D17" s="44">
        <v>1</v>
      </c>
      <c r="E17" s="44"/>
      <c r="F17" s="44">
        <v>1</v>
      </c>
      <c r="G17" s="44"/>
      <c r="H17" s="44">
        <v>0</v>
      </c>
      <c r="I17" s="44"/>
      <c r="J17" s="44">
        <v>0</v>
      </c>
      <c r="K17" s="44"/>
      <c r="L17" s="44">
        <v>0</v>
      </c>
      <c r="M17" s="44"/>
      <c r="N17" s="44">
        <v>0</v>
      </c>
      <c r="O17" s="44"/>
      <c r="P17" s="44">
        <v>0</v>
      </c>
      <c r="Q17" s="44"/>
      <c r="R17" s="44">
        <v>0</v>
      </c>
      <c r="S17" s="44"/>
      <c r="T17" s="44">
        <v>1</v>
      </c>
      <c r="U17" s="44"/>
      <c r="V17" s="44">
        <f t="shared" si="0"/>
        <v>40</v>
      </c>
      <c r="W17" s="44">
        <f t="shared" si="1"/>
        <v>7.7</v>
      </c>
      <c r="X17" s="44">
        <f t="shared" si="2"/>
        <v>32.3</v>
      </c>
      <c r="Y17" s="44"/>
    </row>
    <row r="18" customHeight="1" spans="1:25">
      <c r="A18" s="45">
        <v>46216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>
        <f t="shared" si="0"/>
        <v>0</v>
      </c>
      <c r="W18" s="44">
        <f t="shared" si="1"/>
        <v>0</v>
      </c>
      <c r="X18" s="44">
        <f t="shared" si="2"/>
        <v>0</v>
      </c>
      <c r="Y18" s="44"/>
    </row>
    <row r="19" customHeight="1" spans="1:25">
      <c r="A19" s="45">
        <v>46217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>
        <f t="shared" si="0"/>
        <v>0</v>
      </c>
      <c r="W19" s="44">
        <f t="shared" si="1"/>
        <v>0</v>
      </c>
      <c r="X19" s="44">
        <f t="shared" si="2"/>
        <v>0</v>
      </c>
      <c r="Y19" s="44"/>
    </row>
    <row r="20" customHeight="1" spans="1:25">
      <c r="A20" s="45">
        <v>46218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>
        <f t="shared" si="0"/>
        <v>0</v>
      </c>
      <c r="W20" s="44">
        <f t="shared" si="1"/>
        <v>0</v>
      </c>
      <c r="X20" s="44">
        <f t="shared" si="2"/>
        <v>0</v>
      </c>
      <c r="Y20" s="44"/>
    </row>
    <row r="21" customHeight="1" spans="1:25">
      <c r="A21" s="45">
        <v>46219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>
        <f t="shared" si="0"/>
        <v>0</v>
      </c>
      <c r="W21" s="44">
        <f t="shared" si="1"/>
        <v>0</v>
      </c>
      <c r="X21" s="44">
        <f t="shared" si="2"/>
        <v>0</v>
      </c>
      <c r="Y21" s="44"/>
    </row>
    <row r="22" customHeight="1" spans="1:25">
      <c r="A22" s="45">
        <v>46220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>
        <f t="shared" si="0"/>
        <v>0</v>
      </c>
      <c r="W22" s="44">
        <f t="shared" si="1"/>
        <v>0</v>
      </c>
      <c r="X22" s="44">
        <f t="shared" si="2"/>
        <v>0</v>
      </c>
      <c r="Y22" s="44"/>
    </row>
    <row r="23" customHeight="1" spans="1:25">
      <c r="A23" s="45">
        <v>46221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>
        <f t="shared" si="0"/>
        <v>0</v>
      </c>
      <c r="W23" s="44">
        <f t="shared" si="1"/>
        <v>0</v>
      </c>
      <c r="X23" s="44">
        <f t="shared" si="2"/>
        <v>0</v>
      </c>
      <c r="Y23" s="44"/>
    </row>
    <row r="24" customHeight="1" spans="1:25">
      <c r="A24" s="45">
        <v>46222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>
        <f t="shared" si="0"/>
        <v>0</v>
      </c>
      <c r="W24" s="44">
        <f t="shared" si="1"/>
        <v>0</v>
      </c>
      <c r="X24" s="44">
        <f t="shared" si="2"/>
        <v>0</v>
      </c>
      <c r="Y24" s="44"/>
    </row>
    <row r="25" customHeight="1" spans="1:25">
      <c r="A25" s="45">
        <v>46223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>
        <f t="shared" si="0"/>
        <v>0</v>
      </c>
      <c r="W25" s="44">
        <f t="shared" si="1"/>
        <v>0</v>
      </c>
      <c r="X25" s="44">
        <f t="shared" si="2"/>
        <v>0</v>
      </c>
      <c r="Y25" s="44"/>
    </row>
    <row r="26" customHeight="1" spans="1:25">
      <c r="A26" s="45">
        <v>46224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>
        <f t="shared" si="0"/>
        <v>0</v>
      </c>
      <c r="W26" s="44">
        <f t="shared" si="1"/>
        <v>0</v>
      </c>
      <c r="X26" s="44">
        <f t="shared" si="2"/>
        <v>0</v>
      </c>
      <c r="Y26" s="44"/>
    </row>
    <row r="27" customHeight="1" spans="1:25">
      <c r="A27" s="45">
        <v>46225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>
        <f t="shared" si="0"/>
        <v>0</v>
      </c>
      <c r="W27" s="44">
        <f t="shared" si="1"/>
        <v>0</v>
      </c>
      <c r="X27" s="44">
        <f t="shared" si="2"/>
        <v>0</v>
      </c>
      <c r="Y27" s="44"/>
    </row>
    <row r="28" customHeight="1" spans="1:25">
      <c r="A28" s="45">
        <v>46226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>
        <f t="shared" si="0"/>
        <v>0</v>
      </c>
      <c r="W28" s="44">
        <f t="shared" si="1"/>
        <v>0</v>
      </c>
      <c r="X28" s="44">
        <f t="shared" si="2"/>
        <v>0</v>
      </c>
      <c r="Y28" s="44"/>
    </row>
    <row r="29" customHeight="1" spans="1:25">
      <c r="A29" s="45">
        <v>46227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>
        <f t="shared" si="0"/>
        <v>0</v>
      </c>
      <c r="W29" s="44">
        <f t="shared" si="1"/>
        <v>0</v>
      </c>
      <c r="X29" s="44">
        <f t="shared" si="2"/>
        <v>0</v>
      </c>
      <c r="Y29" s="44"/>
    </row>
    <row r="30" customHeight="1" spans="1:25">
      <c r="A30" s="45">
        <v>46228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>
        <f t="shared" si="0"/>
        <v>0</v>
      </c>
      <c r="W30" s="44">
        <f t="shared" si="1"/>
        <v>0</v>
      </c>
      <c r="X30" s="44">
        <f t="shared" si="2"/>
        <v>0</v>
      </c>
      <c r="Y30" s="44"/>
    </row>
    <row r="31" customHeight="1" spans="1:25">
      <c r="A31" s="45">
        <v>46229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>
        <f t="shared" si="0"/>
        <v>0</v>
      </c>
      <c r="W31" s="44">
        <f t="shared" si="1"/>
        <v>0</v>
      </c>
      <c r="X31" s="44">
        <f t="shared" si="2"/>
        <v>0</v>
      </c>
      <c r="Y31" s="44"/>
    </row>
    <row r="32" customHeight="1" spans="1:25">
      <c r="A32" s="45">
        <v>46230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>
        <f t="shared" si="0"/>
        <v>0</v>
      </c>
      <c r="W32" s="44">
        <f t="shared" si="1"/>
        <v>0</v>
      </c>
      <c r="X32" s="44">
        <f t="shared" si="2"/>
        <v>0</v>
      </c>
      <c r="Y32" s="44"/>
    </row>
    <row r="33" customHeight="1" spans="1:25">
      <c r="A33" s="45">
        <v>46231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>
        <f t="shared" si="0"/>
        <v>0</v>
      </c>
      <c r="W33" s="44">
        <f t="shared" si="1"/>
        <v>0</v>
      </c>
      <c r="X33" s="44">
        <f t="shared" si="2"/>
        <v>0</v>
      </c>
      <c r="Y33" s="44"/>
    </row>
    <row r="34" customHeight="1" spans="1:25">
      <c r="A34" s="45">
        <v>46232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>
        <f t="shared" si="0"/>
        <v>0</v>
      </c>
      <c r="W34" s="44">
        <f t="shared" si="1"/>
        <v>0</v>
      </c>
      <c r="X34" s="44">
        <f t="shared" si="2"/>
        <v>0</v>
      </c>
      <c r="Y34" s="44"/>
    </row>
    <row r="35" customHeight="1" spans="1:25">
      <c r="A35" s="45">
        <v>46233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>
        <f t="shared" si="0"/>
        <v>0</v>
      </c>
      <c r="W35" s="44">
        <f t="shared" si="1"/>
        <v>0</v>
      </c>
      <c r="X35" s="44">
        <f t="shared" si="2"/>
        <v>0</v>
      </c>
      <c r="Y35" s="44"/>
    </row>
    <row r="36" customHeight="1" spans="1:25">
      <c r="A36" s="45">
        <v>46234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>
        <f t="shared" si="0"/>
        <v>0</v>
      </c>
      <c r="W36" s="44">
        <f t="shared" si="1"/>
        <v>0</v>
      </c>
      <c r="X36" s="44">
        <f t="shared" si="2"/>
        <v>0</v>
      </c>
      <c r="Y36" s="44"/>
    </row>
    <row r="37" ht="25" customHeight="1" spans="1:25">
      <c r="A37" s="46" t="s">
        <v>372</v>
      </c>
      <c r="B37" s="47">
        <f>SUM(B6:C36)</f>
        <v>5</v>
      </c>
      <c r="C37" s="48"/>
      <c r="D37" s="47">
        <v>1</v>
      </c>
      <c r="E37" s="48"/>
      <c r="F37" s="47">
        <f>SUM(F6:G36)</f>
        <v>18</v>
      </c>
      <c r="G37" s="48"/>
      <c r="H37" s="47">
        <f>SUM(H6:I36)</f>
        <v>1</v>
      </c>
      <c r="I37" s="48"/>
      <c r="J37" s="47">
        <f>SUM(J6:K36)</f>
        <v>0</v>
      </c>
      <c r="K37" s="48"/>
      <c r="L37" s="47">
        <f>SUM(L6:M36)</f>
        <v>2</v>
      </c>
      <c r="M37" s="48"/>
      <c r="N37" s="47">
        <f>SUM(N6:O36)</f>
        <v>0</v>
      </c>
      <c r="O37" s="48"/>
      <c r="P37" s="49"/>
      <c r="Q37" s="49"/>
      <c r="R37" s="49"/>
      <c r="S37" s="49"/>
      <c r="T37" s="47">
        <f>SUM(T6:U36)</f>
        <v>4</v>
      </c>
      <c r="U37" s="48"/>
      <c r="V37" s="50">
        <f>SUM(V6:V36)</f>
        <v>505</v>
      </c>
      <c r="W37" s="50">
        <f>SUM(W6:W36)</f>
        <v>100.1</v>
      </c>
      <c r="X37" s="50">
        <f>SUM(X6:X36)</f>
        <v>404.9</v>
      </c>
      <c r="Y37" s="50"/>
    </row>
    <row r="38" ht="25" customHeight="1" spans="1:25">
      <c r="A38" s="43" t="s">
        <v>373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>
        <f>$C$4*B38+$E$4*D38+$G$4*F38+$I$4*H38+$K$4*J38+$M$4*L38+$O$4*N38+$U$4*T38</f>
        <v>0</v>
      </c>
      <c r="W38" s="44">
        <f>$B$4*B38+$D$4*D38+$F$4*F38+$H$4*H38+$J$4*J38+$L$4*L38+$N$4*N38+$T$4*T38</f>
        <v>0</v>
      </c>
      <c r="X38" s="44">
        <f>V38-W38</f>
        <v>0</v>
      </c>
      <c r="Y38" s="44"/>
    </row>
    <row r="39" ht="25" customHeight="1" spans="1:25">
      <c r="A39" s="43" t="s">
        <v>374</v>
      </c>
      <c r="B39" s="44">
        <f>B5-B37+B38</f>
        <v>-5</v>
      </c>
      <c r="C39" s="44"/>
      <c r="D39" s="44">
        <f t="shared" ref="B39:F39" si="3">D5-D37+D38</f>
        <v>-1</v>
      </c>
      <c r="E39" s="44"/>
      <c r="F39" s="44">
        <f t="shared" si="3"/>
        <v>-18</v>
      </c>
      <c r="G39" s="44"/>
      <c r="H39" s="44">
        <f t="shared" ref="H39:L39" si="4">H5-H37+H38</f>
        <v>-1</v>
      </c>
      <c r="I39" s="44"/>
      <c r="J39" s="44">
        <f t="shared" si="4"/>
        <v>0</v>
      </c>
      <c r="K39" s="44"/>
      <c r="L39" s="44">
        <f t="shared" si="4"/>
        <v>-2</v>
      </c>
      <c r="M39" s="44"/>
      <c r="N39" s="44">
        <f>N5-N37+N38</f>
        <v>0</v>
      </c>
      <c r="O39" s="44"/>
      <c r="P39" s="44"/>
      <c r="Q39" s="44"/>
      <c r="R39" s="44"/>
      <c r="S39" s="44"/>
      <c r="T39" s="44">
        <f>T5-T37+T38</f>
        <v>-4</v>
      </c>
      <c r="U39" s="44"/>
      <c r="V39" s="44">
        <f>$C$4*B39+$E$4*D39+$G$4*F39+$I$4*H39+$K$4*J39+$M$4*L39+$O$4*N39+$U$4*T39</f>
        <v>-405</v>
      </c>
      <c r="W39" s="44">
        <f>$B$4*B39+$D$4*D39+$F$4*F39+$H$4*H39+$J$4*J39+$L$4*L39+$N$4*N39+$T$4*T39</f>
        <v>-80.1</v>
      </c>
      <c r="X39" s="44">
        <f>V39-W39</f>
        <v>-324.9</v>
      </c>
      <c r="Y39" s="44"/>
    </row>
    <row r="40" ht="25" customHeight="1" spans="1:25">
      <c r="A40" s="43" t="s">
        <v>371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>
        <f>$C$4*B40+$E$4*D40+$G$4*F40+$I$4*H40+$K$4*J40+$M$4*L40+$O$4*N40+$U$4*T40</f>
        <v>0</v>
      </c>
      <c r="W40" s="44">
        <f>$B$4*B40+$D$4*D40+$F$4*F40+$H$4*H40+$J$4*J40+$L$4*L40+$N$4*N40+$T$4*T40</f>
        <v>0</v>
      </c>
      <c r="X40" s="44">
        <f>V40-W40</f>
        <v>0</v>
      </c>
      <c r="Y40" s="44"/>
    </row>
  </sheetData>
  <mergeCells count="368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B37:C37"/>
    <mergeCell ref="D37:E37"/>
    <mergeCell ref="F37:G37"/>
    <mergeCell ref="H37:I37"/>
    <mergeCell ref="J37:K37"/>
    <mergeCell ref="L37:M37"/>
    <mergeCell ref="N37:O37"/>
    <mergeCell ref="T37:U37"/>
    <mergeCell ref="B38:C38"/>
    <mergeCell ref="D38:E38"/>
    <mergeCell ref="F38:G38"/>
    <mergeCell ref="H38:I38"/>
    <mergeCell ref="J38:K38"/>
    <mergeCell ref="L38:M38"/>
    <mergeCell ref="N38:O38"/>
    <mergeCell ref="T38:U38"/>
    <mergeCell ref="B39:C39"/>
    <mergeCell ref="D39:E39"/>
    <mergeCell ref="F39:G39"/>
    <mergeCell ref="H39:I39"/>
    <mergeCell ref="J39:K39"/>
    <mergeCell ref="L39:M39"/>
    <mergeCell ref="N39:O39"/>
    <mergeCell ref="T39:U39"/>
    <mergeCell ref="B40:C40"/>
    <mergeCell ref="D40:E40"/>
    <mergeCell ref="F40:G40"/>
    <mergeCell ref="H40:I40"/>
    <mergeCell ref="J40:K40"/>
    <mergeCell ref="L40:M40"/>
    <mergeCell ref="N40:O40"/>
    <mergeCell ref="T40:U40"/>
    <mergeCell ref="A2:A4"/>
    <mergeCell ref="V2:V4"/>
    <mergeCell ref="W2:W4"/>
    <mergeCell ref="X2:X4"/>
    <mergeCell ref="Y2:Y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workbookViewId="0">
      <selection activeCell="F4" sqref="F4"/>
    </sheetView>
  </sheetViews>
  <sheetFormatPr defaultColWidth="9" defaultRowHeight="20" customHeight="1" outlineLevelCol="5"/>
  <cols>
    <col min="1" max="1" width="12.125" style="7" customWidth="1"/>
    <col min="2" max="2" width="12.375" style="7" customWidth="1"/>
    <col min="3" max="3" width="15.375" style="7" customWidth="1"/>
    <col min="4" max="4" width="12.625" style="7" customWidth="1"/>
    <col min="5" max="5" width="39.375" style="7" customWidth="1"/>
    <col min="6" max="6" width="24.375" style="7" customWidth="1"/>
  </cols>
  <sheetData>
    <row r="1" ht="30" customHeight="1" spans="1:6">
      <c r="A1" s="14" t="s">
        <v>385</v>
      </c>
      <c r="B1" s="14"/>
      <c r="C1" s="14"/>
      <c r="D1" s="14"/>
      <c r="E1" s="14"/>
      <c r="F1" s="14"/>
    </row>
    <row r="2" customHeight="1" spans="1:6">
      <c r="A2" s="30" t="s">
        <v>42</v>
      </c>
      <c r="B2" s="30" t="s">
        <v>386</v>
      </c>
      <c r="C2" s="30" t="s">
        <v>387</v>
      </c>
      <c r="D2" s="30" t="s">
        <v>388</v>
      </c>
      <c r="E2" s="30" t="s">
        <v>389</v>
      </c>
      <c r="F2" s="30" t="s">
        <v>390</v>
      </c>
    </row>
    <row r="3" customHeight="1" spans="1:6">
      <c r="A3" s="29" t="s">
        <v>391</v>
      </c>
      <c r="B3" s="13" t="s">
        <v>392</v>
      </c>
      <c r="C3" s="13">
        <v>18970032303</v>
      </c>
      <c r="D3" s="13">
        <v>2700</v>
      </c>
      <c r="E3" s="9" t="s">
        <v>393</v>
      </c>
      <c r="F3" s="9"/>
    </row>
    <row r="4" customHeight="1" spans="1:6">
      <c r="A4" s="29">
        <v>46207</v>
      </c>
      <c r="B4" s="13" t="s">
        <v>394</v>
      </c>
      <c r="C4" s="13"/>
      <c r="D4" s="13"/>
      <c r="E4" s="9" t="s">
        <v>395</v>
      </c>
      <c r="F4" s="9"/>
    </row>
    <row r="5" customHeight="1" spans="1:6">
      <c r="A5" s="29">
        <v>46207</v>
      </c>
      <c r="B5" s="13" t="s">
        <v>396</v>
      </c>
      <c r="C5" s="13">
        <v>15070983360</v>
      </c>
      <c r="D5" s="9"/>
      <c r="E5" s="9" t="s">
        <v>397</v>
      </c>
      <c r="F5" s="9">
        <v>1</v>
      </c>
    </row>
    <row r="6" customHeight="1" spans="1:6">
      <c r="A6" s="29">
        <v>46207</v>
      </c>
      <c r="B6" s="13" t="s">
        <v>398</v>
      </c>
      <c r="C6" s="13">
        <v>15398208259</v>
      </c>
      <c r="D6" s="9"/>
      <c r="E6" s="9" t="s">
        <v>397</v>
      </c>
      <c r="F6" s="9">
        <v>1</v>
      </c>
    </row>
    <row r="7" customHeight="1" spans="1:6">
      <c r="A7" s="29">
        <v>46214</v>
      </c>
      <c r="B7" s="13" t="s">
        <v>399</v>
      </c>
      <c r="C7" s="13">
        <v>18870870601</v>
      </c>
      <c r="D7" s="9"/>
      <c r="E7" s="9" t="s">
        <v>400</v>
      </c>
      <c r="F7" s="9">
        <v>1</v>
      </c>
    </row>
    <row r="8" customHeight="1" spans="1:6">
      <c r="A8" s="29">
        <v>46214</v>
      </c>
      <c r="B8" s="13" t="s">
        <v>401</v>
      </c>
      <c r="C8" s="13">
        <v>18870870601</v>
      </c>
      <c r="D8" s="13"/>
      <c r="E8" s="9" t="s">
        <v>402</v>
      </c>
      <c r="F8" s="9">
        <v>1</v>
      </c>
    </row>
    <row r="9" customHeight="1" spans="1:6">
      <c r="A9" s="29"/>
      <c r="B9" s="13"/>
      <c r="C9" s="13"/>
      <c r="D9" s="13"/>
      <c r="E9" s="9"/>
      <c r="F9" s="9"/>
    </row>
    <row r="10" customHeight="1" spans="1:6">
      <c r="A10" s="29"/>
      <c r="B10" s="13"/>
      <c r="C10" s="13"/>
      <c r="D10" s="13"/>
      <c r="E10" s="9"/>
      <c r="F10" s="9"/>
    </row>
    <row r="11" customHeight="1" spans="1:6">
      <c r="A11" s="29"/>
      <c r="B11" s="13"/>
      <c r="C11" s="13"/>
      <c r="D11" s="9"/>
      <c r="E11" s="9"/>
      <c r="F11" s="9"/>
    </row>
    <row r="12" customHeight="1" spans="1:6">
      <c r="A12" s="29"/>
      <c r="B12" s="13"/>
      <c r="C12" s="13"/>
      <c r="D12" s="9"/>
      <c r="E12" s="9"/>
      <c r="F12" s="9"/>
    </row>
    <row r="13" customHeight="1" spans="1:6">
      <c r="A13" s="29"/>
      <c r="B13" s="9"/>
      <c r="C13" s="13"/>
      <c r="D13" s="9"/>
      <c r="E13" s="9"/>
      <c r="F13" s="9"/>
    </row>
    <row r="14" customHeight="1" spans="1:6">
      <c r="A14" s="29"/>
      <c r="B14" s="13"/>
      <c r="C14" s="13"/>
      <c r="D14" s="9"/>
      <c r="E14" s="9"/>
      <c r="F14" s="9"/>
    </row>
    <row r="15" customHeight="1" spans="1:6">
      <c r="A15" s="29"/>
      <c r="B15" s="13"/>
      <c r="C15" s="13"/>
      <c r="D15" s="9"/>
      <c r="E15" s="9"/>
      <c r="F15" s="9"/>
    </row>
    <row r="16" ht="31" customHeight="1" spans="1:6">
      <c r="A16" s="29"/>
      <c r="B16" s="13"/>
      <c r="C16" s="13"/>
      <c r="D16" s="9"/>
      <c r="E16" s="9"/>
      <c r="F16" s="9"/>
    </row>
    <row r="17" ht="25" customHeight="1" spans="1:6">
      <c r="A17" s="29"/>
      <c r="B17" s="13"/>
      <c r="C17" s="13"/>
      <c r="D17" s="9"/>
      <c r="E17" s="9"/>
      <c r="F17" s="9"/>
    </row>
    <row r="18" customHeight="1" spans="1:6">
      <c r="A18" s="29"/>
      <c r="B18" s="13"/>
      <c r="C18" s="13"/>
      <c r="D18" s="9"/>
      <c r="E18" s="9"/>
      <c r="F18" s="9"/>
    </row>
    <row r="19" customHeight="1" spans="1:6">
      <c r="A19" s="29"/>
      <c r="B19" s="13"/>
      <c r="C19" s="13"/>
      <c r="D19" s="9"/>
      <c r="E19" s="9"/>
      <c r="F19" s="9"/>
    </row>
    <row r="20" customHeight="1" spans="1:6">
      <c r="A20" s="29"/>
      <c r="B20" s="13"/>
      <c r="C20" s="13"/>
      <c r="D20" s="9"/>
      <c r="E20" s="9"/>
      <c r="F20" s="9"/>
    </row>
    <row r="21" customHeight="1" spans="1:6">
      <c r="A21" s="29"/>
      <c r="B21" s="13"/>
      <c r="C21" s="13"/>
      <c r="D21" s="9"/>
      <c r="E21" s="9"/>
      <c r="F21" s="9"/>
    </row>
    <row r="22" customHeight="1" spans="1:6">
      <c r="A22" s="29"/>
      <c r="B22" s="13"/>
      <c r="C22" s="13"/>
      <c r="D22" s="9"/>
      <c r="E22" s="9"/>
      <c r="F22" s="9"/>
    </row>
    <row r="23" customHeight="1" spans="1:6">
      <c r="A23" s="29"/>
      <c r="B23" s="13"/>
      <c r="C23" s="13"/>
      <c r="D23" s="9"/>
      <c r="E23" s="9"/>
      <c r="F23" s="9"/>
    </row>
    <row r="24" ht="30" customHeight="1" spans="1:6">
      <c r="A24" s="29"/>
      <c r="B24" s="13"/>
      <c r="C24" s="21"/>
      <c r="D24" s="9"/>
      <c r="E24" s="9"/>
      <c r="F24" s="9"/>
    </row>
    <row r="25" ht="29" customHeight="1" spans="1:6">
      <c r="A25" s="29"/>
      <c r="B25" s="9"/>
      <c r="C25" s="9"/>
      <c r="D25" s="9"/>
      <c r="E25" s="9"/>
      <c r="F25" s="9"/>
    </row>
    <row r="26" ht="16.8" spans="1:6">
      <c r="A26" s="29"/>
      <c r="B26" s="9"/>
      <c r="C26" s="9"/>
      <c r="D26" s="9"/>
      <c r="E26" s="9"/>
      <c r="F26" s="9"/>
    </row>
    <row r="27" ht="16.8" spans="1:6">
      <c r="A27" s="29"/>
      <c r="B27" s="9"/>
      <c r="C27" s="9"/>
      <c r="D27" s="9"/>
      <c r="E27" s="9"/>
      <c r="F27" s="9"/>
    </row>
    <row r="28" customHeight="1" spans="1:6">
      <c r="A28" s="29"/>
      <c r="B28" s="9"/>
      <c r="C28" s="9"/>
      <c r="D28" s="9"/>
      <c r="E28" s="9"/>
      <c r="F28" s="9"/>
    </row>
    <row r="29" customHeight="1" spans="1:6">
      <c r="A29" s="29"/>
      <c r="B29" s="9"/>
      <c r="C29" s="9"/>
      <c r="D29" s="9"/>
      <c r="E29" s="9"/>
      <c r="F29" s="9"/>
    </row>
    <row r="30" customHeight="1" spans="1:6">
      <c r="A30" s="29"/>
      <c r="B30" s="9"/>
      <c r="C30" s="9"/>
      <c r="D30" s="9"/>
      <c r="E30" s="9"/>
      <c r="F30" s="9"/>
    </row>
    <row r="31" customHeight="1" spans="1:6">
      <c r="A31" s="29"/>
      <c r="B31" s="9"/>
      <c r="C31" s="9"/>
      <c r="D31" s="9"/>
      <c r="E31" s="9"/>
      <c r="F31" s="9"/>
    </row>
    <row r="32" customHeight="1" spans="1:6">
      <c r="A32" s="29"/>
      <c r="B32" s="9"/>
      <c r="C32" s="9"/>
      <c r="D32" s="9"/>
      <c r="E32" s="9"/>
      <c r="F32" s="9"/>
    </row>
    <row r="33" customHeight="1" spans="1:6">
      <c r="A33" s="29"/>
      <c r="B33" s="9"/>
      <c r="C33" s="9"/>
      <c r="D33" s="9"/>
      <c r="E33" s="9"/>
      <c r="F33" s="9"/>
    </row>
    <row r="34" customHeight="1" spans="1:6">
      <c r="A34" s="29"/>
      <c r="B34" s="9"/>
      <c r="C34" s="9"/>
      <c r="D34" s="9"/>
      <c r="E34" s="9"/>
      <c r="F34" s="9"/>
    </row>
    <row r="35" customHeight="1" spans="1:6">
      <c r="A35" s="29"/>
      <c r="B35" s="9"/>
      <c r="C35" s="9"/>
      <c r="D35" s="9"/>
      <c r="E35" s="9"/>
      <c r="F35" s="9"/>
    </row>
    <row r="36" customHeight="1" spans="1:6">
      <c r="A36" s="29"/>
      <c r="B36" s="9"/>
      <c r="C36" s="9"/>
      <c r="D36" s="9"/>
      <c r="E36" s="9"/>
      <c r="F36" s="9"/>
    </row>
    <row r="37" customHeight="1" spans="1:6">
      <c r="A37" s="29"/>
      <c r="B37" s="9"/>
      <c r="C37" s="9"/>
      <c r="D37" s="9"/>
      <c r="E37" s="9"/>
      <c r="F37" s="9"/>
    </row>
    <row r="38" customHeight="1" spans="1:6">
      <c r="A38" s="9"/>
      <c r="B38" s="9"/>
      <c r="C38" s="9"/>
      <c r="D38" s="9"/>
      <c r="E38" s="9"/>
      <c r="F38" s="9"/>
    </row>
    <row r="39" customHeight="1" spans="1:6">
      <c r="A39" s="9"/>
      <c r="B39" s="9"/>
      <c r="C39" s="9"/>
      <c r="D39" s="9"/>
      <c r="E39" s="9"/>
      <c r="F39" s="9"/>
    </row>
    <row r="40" customHeight="1" spans="1:6">
      <c r="A40" s="9"/>
      <c r="B40" s="9"/>
      <c r="C40" s="9"/>
      <c r="D40" s="9"/>
      <c r="E40" s="9"/>
      <c r="F40" s="9"/>
    </row>
    <row r="41" customHeight="1" spans="1:6">
      <c r="A41" s="9"/>
      <c r="B41" s="9"/>
      <c r="C41" s="9"/>
      <c r="D41" s="9"/>
      <c r="E41" s="9"/>
      <c r="F41" s="9"/>
    </row>
    <row r="42" customHeight="1" spans="1:6">
      <c r="A42" s="9"/>
      <c r="B42" s="9"/>
      <c r="C42" s="9"/>
      <c r="D42" s="9"/>
      <c r="E42" s="9"/>
      <c r="F42" s="9"/>
    </row>
    <row r="43" customHeight="1" spans="1:6">
      <c r="A43" s="9"/>
      <c r="B43" s="9"/>
      <c r="C43" s="9"/>
      <c r="D43" s="9"/>
      <c r="E43" s="9"/>
      <c r="F43" s="9"/>
    </row>
    <row r="44" customHeight="1" spans="1:6">
      <c r="A44" s="9"/>
      <c r="B44" s="9"/>
      <c r="C44" s="9"/>
      <c r="D44" s="9"/>
      <c r="E44" s="9"/>
      <c r="F44" s="9"/>
    </row>
    <row r="45" customHeight="1" spans="1:6">
      <c r="A45" s="9"/>
      <c r="B45" s="9"/>
      <c r="C45" s="9"/>
      <c r="D45" s="9"/>
      <c r="E45" s="9"/>
      <c r="F45" s="9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2" topLeftCell="A3" activePane="bottomLeft" state="frozen"/>
      <selection/>
      <selection pane="bottomLeft" activeCell="A5" sqref="A5"/>
    </sheetView>
  </sheetViews>
  <sheetFormatPr defaultColWidth="9" defaultRowHeight="20" customHeight="1" outlineLevelRow="4"/>
  <cols>
    <col min="1" max="1" width="12.625" style="9" customWidth="1"/>
    <col min="2" max="2" width="13.75" style="9" customWidth="1"/>
    <col min="3" max="3" width="14" style="9" customWidth="1"/>
    <col min="4" max="4" width="30.75" style="9" customWidth="1"/>
    <col min="5" max="5" width="23.125" style="9" customWidth="1"/>
    <col min="6" max="6" width="51.125" style="9" customWidth="1"/>
    <col min="7" max="7" width="35.625" style="9" customWidth="1"/>
    <col min="8" max="8" width="12.5" style="9" customWidth="1"/>
    <col min="9" max="9" width="12" style="9" customWidth="1"/>
    <col min="10" max="10" width="15.5" style="9" customWidth="1"/>
  </cols>
  <sheetData>
    <row r="1" ht="30" customHeight="1" spans="1:10">
      <c r="A1" s="28" t="s">
        <v>42</v>
      </c>
      <c r="B1" s="28" t="s">
        <v>386</v>
      </c>
      <c r="C1" s="28" t="s">
        <v>65</v>
      </c>
      <c r="D1" s="28" t="s">
        <v>403</v>
      </c>
      <c r="E1" s="28"/>
      <c r="F1" s="28"/>
      <c r="G1" s="28"/>
      <c r="H1" s="28" t="s">
        <v>404</v>
      </c>
      <c r="I1" s="28" t="s">
        <v>405</v>
      </c>
      <c r="J1" s="28" t="s">
        <v>406</v>
      </c>
    </row>
    <row r="2" ht="30" customHeight="1" spans="1:10">
      <c r="A2" s="28"/>
      <c r="B2" s="28"/>
      <c r="C2" s="28"/>
      <c r="D2" s="28" t="s">
        <v>407</v>
      </c>
      <c r="E2" s="28" t="s">
        <v>408</v>
      </c>
      <c r="F2" s="28" t="s">
        <v>409</v>
      </c>
      <c r="G2" s="28" t="s">
        <v>410</v>
      </c>
      <c r="H2" s="28"/>
      <c r="I2" s="28"/>
      <c r="J2" s="28"/>
    </row>
    <row r="3" customHeight="1" spans="1:10">
      <c r="A3" s="29">
        <v>46160</v>
      </c>
      <c r="B3" s="9" t="s">
        <v>411</v>
      </c>
      <c r="C3" s="9">
        <v>18107910921</v>
      </c>
    </row>
    <row r="4" customHeight="1" spans="1:10">
      <c r="A4" s="29">
        <v>46163</v>
      </c>
      <c r="B4" s="13" t="s">
        <v>412</v>
      </c>
      <c r="C4" s="13">
        <v>18702511197</v>
      </c>
    </row>
    <row r="5" customHeight="1" spans="1:10">
      <c r="A5" s="29">
        <v>46210</v>
      </c>
      <c r="B5" s="9" t="s">
        <v>413</v>
      </c>
      <c r="C5" s="13">
        <v>13732989511</v>
      </c>
    </row>
  </sheetData>
  <mergeCells count="7">
    <mergeCell ref="D1:G1"/>
    <mergeCell ref="A1:A2"/>
    <mergeCell ref="B1:B2"/>
    <mergeCell ref="C1:C2"/>
    <mergeCell ref="H1:H2"/>
    <mergeCell ref="I1:I2"/>
    <mergeCell ref="J1:J2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3"/>
  <sheetViews>
    <sheetView workbookViewId="0">
      <selection activeCell="A2" sqref="A2"/>
    </sheetView>
  </sheetViews>
  <sheetFormatPr defaultColWidth="9" defaultRowHeight="16.8"/>
  <cols>
    <col min="1" max="1" width="13.125" style="15" customWidth="1"/>
    <col min="2" max="2" width="15.375" style="15" customWidth="1"/>
    <col min="3" max="3" width="16.125" style="15" customWidth="1"/>
    <col min="4" max="4" width="15.625" style="15" customWidth="1"/>
    <col min="5" max="5" width="17.875" style="15" customWidth="1"/>
    <col min="6" max="6" width="9" style="15"/>
    <col min="7" max="7" width="11.125" style="15" customWidth="1"/>
    <col min="8" max="8" width="9.375" style="15"/>
    <col min="9" max="9" width="43.875" style="15" customWidth="1"/>
    <col min="10" max="10" width="21.25" style="15" customWidth="1"/>
    <col min="11" max="16384" width="9" style="15"/>
  </cols>
  <sheetData>
    <row r="1" s="15" customFormat="1" ht="41" spans="1:18">
      <c r="A1" s="17" t="s">
        <v>414</v>
      </c>
      <c r="B1" s="17" t="s">
        <v>415</v>
      </c>
      <c r="C1" s="17" t="s">
        <v>416</v>
      </c>
      <c r="D1" s="17" t="s">
        <v>417</v>
      </c>
      <c r="E1" s="17" t="s">
        <v>418</v>
      </c>
      <c r="F1" s="17" t="s">
        <v>419</v>
      </c>
      <c r="G1" s="17" t="s">
        <v>420</v>
      </c>
      <c r="H1" s="17" t="s">
        <v>421</v>
      </c>
      <c r="I1" s="17" t="s">
        <v>41</v>
      </c>
    </row>
    <row r="2" s="16" customFormat="1" ht="21" customHeight="1" spans="1:18">
      <c r="A2" s="18"/>
      <c r="B2" s="13"/>
      <c r="C2" s="13"/>
      <c r="D2" s="13"/>
      <c r="E2" s="13"/>
      <c r="F2" s="13"/>
      <c r="G2" s="13"/>
      <c r="H2" s="13"/>
      <c r="I2" s="19"/>
    </row>
    <row r="3" s="15" customFormat="1" ht="21" customHeight="1" spans="1:18">
      <c r="A3" s="18"/>
      <c r="B3" s="13"/>
      <c r="C3" s="13"/>
      <c r="D3" s="13"/>
      <c r="E3" s="13"/>
      <c r="F3" s="13"/>
      <c r="G3" s="13"/>
      <c r="H3" s="13"/>
      <c r="I3" s="19"/>
    </row>
    <row r="4" s="15" customFormat="1" ht="21" customHeight="1" spans="1:18">
      <c r="A4" s="18"/>
      <c r="B4" s="13"/>
      <c r="C4" s="13"/>
      <c r="D4" s="13"/>
      <c r="E4" s="13"/>
      <c r="F4" s="13"/>
      <c r="G4" s="13"/>
      <c r="H4" s="13"/>
      <c r="I4" s="13"/>
    </row>
    <row r="5" s="15" customFormat="1" ht="35" customHeight="1" spans="1:18">
      <c r="A5" s="18"/>
      <c r="B5" s="13"/>
      <c r="C5" s="13"/>
      <c r="D5" s="13"/>
      <c r="E5" s="13"/>
      <c r="F5" s="13"/>
      <c r="G5" s="13"/>
      <c r="H5" s="13"/>
      <c r="I5" s="20"/>
    </row>
    <row r="6" s="15" customFormat="1" ht="21" customHeight="1" spans="1:18">
      <c r="A6" s="18"/>
      <c r="B6" s="13"/>
      <c r="C6" s="13"/>
      <c r="D6" s="13"/>
      <c r="E6" s="13"/>
      <c r="F6" s="13"/>
      <c r="G6" s="13"/>
      <c r="H6" s="13"/>
      <c r="I6" s="19"/>
    </row>
    <row r="7" customFormat="1" ht="21" customHeight="1" spans="1:18">
      <c r="A7" s="18"/>
      <c r="B7" s="13"/>
      <c r="C7" s="13"/>
      <c r="D7" s="13"/>
      <c r="E7" s="13"/>
      <c r="F7" s="13"/>
      <c r="G7" s="13"/>
      <c r="H7" s="13"/>
      <c r="I7" s="13"/>
      <c r="J7" s="15"/>
      <c r="K7" s="15"/>
      <c r="L7" s="15"/>
      <c r="M7" s="15"/>
      <c r="N7" s="15"/>
      <c r="O7" s="15"/>
      <c r="P7" s="15"/>
      <c r="Q7" s="15"/>
      <c r="R7" s="15"/>
    </row>
    <row r="8" customFormat="1" ht="21" customHeight="1" spans="1:18">
      <c r="A8" s="18"/>
      <c r="B8" s="19"/>
      <c r="C8" s="19"/>
      <c r="D8" s="13"/>
      <c r="E8" s="13"/>
      <c r="F8" s="13"/>
      <c r="G8" s="13"/>
      <c r="H8" s="13"/>
      <c r="I8" s="13"/>
      <c r="J8" s="15"/>
      <c r="K8" s="15"/>
      <c r="L8" s="15"/>
      <c r="M8" s="15"/>
      <c r="N8" s="15"/>
      <c r="O8" s="15"/>
      <c r="P8" s="15"/>
      <c r="Q8" s="15"/>
      <c r="R8" s="15"/>
    </row>
    <row r="9" customFormat="1" ht="21" customHeight="1" spans="1:18">
      <c r="A9" s="18"/>
      <c r="B9" s="13"/>
      <c r="C9" s="13"/>
      <c r="D9" s="13"/>
      <c r="E9" s="13"/>
      <c r="F9" s="13"/>
      <c r="G9" s="13"/>
      <c r="H9" s="13"/>
      <c r="I9" s="13"/>
      <c r="J9" s="15"/>
      <c r="K9" s="15"/>
      <c r="L9" s="15"/>
      <c r="M9" s="15"/>
      <c r="N9" s="15"/>
      <c r="O9" s="15"/>
      <c r="P9" s="15"/>
      <c r="Q9" s="15"/>
      <c r="R9" s="15"/>
    </row>
    <row r="10" customFormat="1" ht="21" customHeight="1" spans="1:18">
      <c r="A10" s="18"/>
      <c r="B10" s="13"/>
      <c r="C10" s="13"/>
      <c r="D10" s="13"/>
      <c r="E10" s="13"/>
      <c r="F10" s="13"/>
      <c r="G10" s="13"/>
      <c r="H10" s="13"/>
      <c r="I10" s="19"/>
      <c r="J10" s="15"/>
      <c r="K10" s="15"/>
      <c r="L10" s="15"/>
      <c r="M10" s="15"/>
      <c r="N10" s="15"/>
      <c r="O10" s="15"/>
      <c r="P10" s="15"/>
      <c r="Q10" s="15"/>
      <c r="R10" s="15"/>
    </row>
    <row r="11" customFormat="1" ht="21" customHeight="1" spans="1:18">
      <c r="A11" s="18"/>
      <c r="B11" s="13"/>
      <c r="C11" s="13"/>
      <c r="D11" s="13"/>
      <c r="E11" s="13"/>
      <c r="F11" s="13"/>
      <c r="G11" s="13"/>
      <c r="H11" s="13"/>
      <c r="I11" s="19"/>
      <c r="J11" s="15"/>
      <c r="K11" s="15"/>
      <c r="L11" s="15"/>
      <c r="M11" s="15"/>
      <c r="N11" s="15"/>
      <c r="O11" s="15"/>
      <c r="P11" s="15"/>
      <c r="Q11" s="15"/>
      <c r="R11" s="15"/>
    </row>
    <row r="12" customFormat="1" ht="32" customHeight="1" spans="1:18">
      <c r="A12" s="18"/>
      <c r="B12" s="13"/>
      <c r="C12" s="13"/>
      <c r="D12" s="13"/>
      <c r="E12" s="13"/>
      <c r="F12" s="13"/>
      <c r="G12" s="13"/>
      <c r="H12" s="13"/>
      <c r="I12" s="21"/>
      <c r="J12" s="15"/>
      <c r="K12" s="15"/>
      <c r="L12" s="15"/>
      <c r="M12" s="15"/>
      <c r="N12" s="15"/>
      <c r="O12" s="15"/>
      <c r="P12" s="15"/>
      <c r="Q12" s="15"/>
      <c r="R12" s="15"/>
    </row>
    <row r="13" s="16" customFormat="1" ht="21" customHeight="1" spans="1:18">
      <c r="A13" s="18"/>
      <c r="B13" s="13"/>
      <c r="C13" s="13"/>
      <c r="D13" s="13"/>
      <c r="E13" s="13"/>
      <c r="F13" s="13"/>
      <c r="G13" s="13"/>
      <c r="H13" s="13"/>
      <c r="I13" s="19"/>
    </row>
    <row r="14" s="16" customFormat="1" ht="21" customHeight="1" spans="1:18">
      <c r="A14" s="18"/>
      <c r="B14" s="13"/>
      <c r="C14" s="13"/>
      <c r="D14" s="13"/>
      <c r="E14" s="13"/>
      <c r="F14" s="13"/>
      <c r="G14" s="13"/>
      <c r="H14" s="13"/>
      <c r="I14" s="13"/>
    </row>
    <row r="15" s="16" customFormat="1" ht="21" customHeight="1" spans="1:18">
      <c r="A15" s="18"/>
      <c r="B15" s="13"/>
      <c r="C15" s="13"/>
      <c r="D15" s="13"/>
      <c r="E15" s="13"/>
      <c r="F15" s="13"/>
      <c r="G15" s="13"/>
      <c r="H15" s="13"/>
      <c r="I15" s="19"/>
    </row>
    <row r="16" s="16" customFormat="1" ht="21" customHeight="1" spans="1:18">
      <c r="A16" s="18"/>
      <c r="B16" s="22"/>
      <c r="C16" s="23"/>
      <c r="D16" s="13"/>
      <c r="E16" s="13"/>
      <c r="F16" s="13"/>
      <c r="G16" s="13"/>
      <c r="H16" s="13"/>
      <c r="I16" s="24"/>
    </row>
    <row r="17" s="16" customFormat="1" ht="21" customHeight="1" spans="1:9">
      <c r="A17" s="18"/>
      <c r="B17" s="24"/>
      <c r="C17" s="24"/>
      <c r="D17" s="13"/>
      <c r="E17" s="13"/>
      <c r="F17" s="13"/>
      <c r="G17" s="13"/>
      <c r="H17" s="13"/>
      <c r="I17" s="24"/>
    </row>
    <row r="18" s="16" customFormat="1" ht="21" customHeight="1" spans="1:9">
      <c r="A18" s="18"/>
      <c r="B18" s="24"/>
      <c r="C18" s="24"/>
      <c r="D18" s="13"/>
      <c r="E18" s="13"/>
      <c r="F18" s="13"/>
      <c r="G18" s="13"/>
      <c r="H18" s="13"/>
      <c r="I18" s="24"/>
    </row>
    <row r="19" s="16" customFormat="1" ht="21" customHeight="1" spans="1:9">
      <c r="A19" s="18"/>
      <c r="B19" s="22"/>
      <c r="C19" s="13"/>
      <c r="D19" s="13"/>
      <c r="E19" s="13"/>
      <c r="F19" s="13"/>
      <c r="G19" s="13"/>
      <c r="H19" s="13"/>
      <c r="I19" s="24"/>
    </row>
    <row r="20" s="16" customFormat="1" ht="21" customHeight="1" spans="1:9">
      <c r="A20" s="18"/>
      <c r="B20" s="24"/>
      <c r="C20" s="24"/>
      <c r="D20" s="13"/>
      <c r="E20" s="13"/>
      <c r="F20" s="13"/>
      <c r="G20" s="13"/>
      <c r="H20" s="13"/>
      <c r="I20" s="24"/>
    </row>
    <row r="21" s="16" customFormat="1" ht="21" customHeight="1" spans="1:9">
      <c r="A21" s="18"/>
      <c r="B21" s="24"/>
      <c r="C21" s="24"/>
      <c r="D21" s="13"/>
      <c r="E21" s="13"/>
      <c r="F21" s="13"/>
      <c r="G21" s="13"/>
      <c r="H21" s="13"/>
      <c r="I21" s="13"/>
    </row>
    <row r="22" s="16" customFormat="1" ht="21" customHeight="1" spans="1:9">
      <c r="A22" s="18"/>
      <c r="B22" s="13"/>
      <c r="C22" s="13"/>
      <c r="D22" s="13"/>
      <c r="E22" s="13"/>
      <c r="F22" s="13"/>
      <c r="G22" s="13"/>
      <c r="H22" s="13"/>
      <c r="I22" s="13"/>
    </row>
    <row r="23" s="16" customFormat="1" ht="21" customHeight="1" spans="1:9">
      <c r="A23" s="18"/>
      <c r="B23" s="19"/>
      <c r="C23" s="19"/>
      <c r="D23" s="13"/>
      <c r="E23" s="13"/>
      <c r="F23" s="13"/>
      <c r="G23" s="13"/>
      <c r="H23" s="13"/>
      <c r="I23" s="13"/>
    </row>
    <row r="24" s="16" customFormat="1" ht="21" customHeight="1" spans="1:9">
      <c r="A24" s="18"/>
      <c r="B24" s="19"/>
      <c r="C24" s="19"/>
      <c r="D24" s="13"/>
      <c r="E24" s="13"/>
      <c r="F24" s="13"/>
      <c r="G24" s="13"/>
      <c r="H24" s="13"/>
      <c r="I24" s="13"/>
    </row>
    <row r="25" s="16" customFormat="1" ht="21" customHeight="1" spans="1:9">
      <c r="A25" s="18"/>
      <c r="B25" s="13"/>
      <c r="C25" s="13"/>
      <c r="D25" s="13"/>
      <c r="E25" s="13"/>
      <c r="F25" s="13"/>
      <c r="G25" s="13"/>
      <c r="H25" s="13"/>
      <c r="I25" s="13"/>
    </row>
    <row r="26" s="16" customFormat="1" ht="21" customHeight="1" spans="1:9">
      <c r="A26" s="18"/>
      <c r="B26" s="13"/>
      <c r="C26" s="13"/>
      <c r="D26" s="13"/>
      <c r="E26" s="13"/>
      <c r="F26" s="13"/>
      <c r="G26" s="13"/>
      <c r="H26" s="13"/>
      <c r="I26" s="13"/>
    </row>
    <row r="27" s="16" customFormat="1" ht="21" customHeight="1" spans="1:9">
      <c r="A27" s="18"/>
      <c r="B27" s="13"/>
      <c r="C27" s="13"/>
      <c r="D27" s="13"/>
      <c r="E27" s="13"/>
      <c r="F27" s="13"/>
      <c r="G27" s="13"/>
      <c r="H27" s="13"/>
      <c r="I27" s="13"/>
    </row>
    <row r="28" s="16" customFormat="1" ht="21" customHeight="1" spans="1:9">
      <c r="A28" s="18"/>
      <c r="B28" s="13"/>
      <c r="C28" s="22"/>
      <c r="D28" s="13"/>
      <c r="E28" s="13"/>
      <c r="F28" s="13"/>
      <c r="G28" s="13"/>
      <c r="H28" s="13"/>
      <c r="I28" s="13"/>
    </row>
    <row r="29" s="16" customFormat="1" ht="21" customHeight="1" spans="1:9">
      <c r="A29" s="18"/>
      <c r="B29" s="13"/>
      <c r="C29" s="13"/>
      <c r="D29" s="13"/>
      <c r="E29" s="13"/>
      <c r="F29" s="13"/>
      <c r="G29" s="13"/>
      <c r="H29" s="13"/>
      <c r="I29" s="13"/>
    </row>
    <row r="30" s="16" customFormat="1" ht="21" customHeight="1" spans="1:9">
      <c r="A30" s="18"/>
      <c r="B30" s="13"/>
      <c r="C30" s="13"/>
      <c r="D30" s="13"/>
      <c r="E30" s="13"/>
      <c r="F30" s="13"/>
      <c r="G30" s="13"/>
      <c r="H30" s="13"/>
      <c r="I30" s="13"/>
    </row>
    <row r="31" s="16" customFormat="1" ht="21" customHeight="1" spans="1:9">
      <c r="A31" s="18"/>
      <c r="B31" s="13"/>
      <c r="C31" s="13"/>
      <c r="D31" s="13"/>
      <c r="E31" s="13"/>
      <c r="F31" s="13"/>
      <c r="G31" s="13"/>
      <c r="H31" s="13"/>
      <c r="I31" s="13"/>
    </row>
    <row r="32" s="16" customFormat="1" ht="21" customHeight="1" spans="1:9">
      <c r="A32" s="18"/>
      <c r="B32" s="13"/>
      <c r="C32" s="13"/>
      <c r="D32" s="13"/>
      <c r="E32" s="13"/>
      <c r="F32" s="13"/>
      <c r="G32" s="13"/>
      <c r="H32" s="13"/>
      <c r="I32" s="13"/>
    </row>
    <row r="33" s="15" customFormat="1" ht="21" customHeight="1" spans="1:12">
      <c r="A33" s="18"/>
      <c r="B33" s="13"/>
      <c r="C33" s="25"/>
      <c r="D33" s="13"/>
      <c r="E33" s="13"/>
      <c r="F33" s="13"/>
      <c r="G33" s="13"/>
      <c r="H33" s="13"/>
      <c r="I33" s="13"/>
    </row>
    <row r="34" s="15" customFormat="1" ht="21" customHeight="1" spans="1:12">
      <c r="A34" s="18"/>
      <c r="B34" s="13"/>
      <c r="C34" s="13"/>
      <c r="D34" s="13"/>
      <c r="E34" s="13"/>
      <c r="F34" s="13"/>
      <c r="G34" s="13"/>
      <c r="H34" s="13"/>
      <c r="I34" s="13"/>
    </row>
    <row r="35" s="15" customFormat="1" ht="21" customHeight="1" spans="1:12">
      <c r="A35" s="18"/>
      <c r="B35" s="13"/>
      <c r="C35" s="22"/>
      <c r="D35" s="13"/>
      <c r="E35" s="19"/>
      <c r="F35" s="13"/>
      <c r="G35" s="13"/>
      <c r="H35" s="13"/>
      <c r="I35" s="13"/>
    </row>
    <row r="36" s="15" customFormat="1" ht="21" customHeight="1" spans="1:12">
      <c r="A36" s="18"/>
      <c r="B36" s="13"/>
      <c r="C36" s="13"/>
      <c r="D36" s="13"/>
      <c r="E36" s="13"/>
      <c r="F36" s="13"/>
      <c r="G36" s="13"/>
      <c r="H36" s="13"/>
      <c r="I36" s="13"/>
    </row>
    <row r="37" s="15" customFormat="1" ht="21" customHeight="1" spans="1:12">
      <c r="A37" s="18"/>
      <c r="B37" s="13"/>
      <c r="C37" s="13"/>
      <c r="D37" s="13"/>
      <c r="E37" s="13"/>
      <c r="F37" s="13"/>
      <c r="G37" s="13"/>
      <c r="H37" s="13"/>
      <c r="I37" s="13"/>
    </row>
    <row r="38" s="15" customFormat="1" ht="21" customHeight="1" spans="1:12">
      <c r="A38" s="18"/>
      <c r="B38" s="13"/>
      <c r="C38" s="13"/>
      <c r="D38" s="13"/>
      <c r="E38" s="13"/>
      <c r="F38" s="13"/>
      <c r="G38" s="13"/>
      <c r="H38" s="13"/>
      <c r="I38" s="13"/>
    </row>
    <row r="39" s="15" customFormat="1" ht="21" customHeight="1" spans="1:12">
      <c r="A39" s="18"/>
      <c r="B39" s="13"/>
      <c r="C39" s="13"/>
      <c r="D39" s="13"/>
      <c r="E39" s="13"/>
      <c r="F39" s="13"/>
      <c r="G39" s="13"/>
      <c r="H39" s="13"/>
      <c r="I39" s="13"/>
    </row>
    <row r="40" s="15" customFormat="1" ht="21" customHeight="1" spans="1:12">
      <c r="A40" s="18"/>
      <c r="B40" s="13"/>
      <c r="C40" s="13"/>
      <c r="D40" s="13"/>
      <c r="E40" s="13"/>
      <c r="F40" s="13"/>
      <c r="G40" s="26"/>
      <c r="H40" s="13"/>
      <c r="I40" s="13"/>
    </row>
    <row r="41" s="15" customFormat="1" ht="21" customHeight="1" spans="1:12">
      <c r="A41" s="18"/>
      <c r="B41" s="13"/>
      <c r="C41" s="13"/>
      <c r="D41" s="13"/>
      <c r="E41" s="19"/>
      <c r="F41" s="13"/>
      <c r="G41" s="26"/>
      <c r="H41" s="13"/>
      <c r="I41" s="13"/>
    </row>
    <row r="42" s="15" customFormat="1" ht="21" customHeight="1" spans="1:12">
      <c r="A42" s="18"/>
      <c r="B42" s="13"/>
      <c r="C42" s="13"/>
      <c r="D42" s="13"/>
      <c r="E42" s="13"/>
      <c r="F42" s="13"/>
      <c r="G42" s="26"/>
      <c r="H42" s="13"/>
      <c r="I42" s="13"/>
    </row>
    <row r="43" s="15" customFormat="1" ht="21" customHeight="1" spans="1:12">
      <c r="A43" s="18"/>
      <c r="B43" s="21"/>
      <c r="C43" s="13"/>
      <c r="D43" s="13"/>
      <c r="E43" s="13"/>
      <c r="F43" s="13"/>
      <c r="G43" s="13"/>
      <c r="H43" s="13"/>
      <c r="I43" s="13"/>
    </row>
    <row r="44" s="15" customFormat="1" ht="21" customHeight="1" spans="1:12">
      <c r="A44" s="18"/>
      <c r="B44" s="13"/>
      <c r="C44" s="13"/>
      <c r="D44" s="13"/>
      <c r="E44" s="19"/>
      <c r="F44" s="13"/>
      <c r="G44" s="13"/>
      <c r="H44" s="13"/>
      <c r="I44" s="13"/>
    </row>
    <row r="45" s="15" customFormat="1" ht="24" customHeight="1" spans="1:12">
      <c r="A45" s="18"/>
      <c r="B45" s="13"/>
      <c r="C45" s="13"/>
      <c r="D45" s="13"/>
      <c r="E45" s="13"/>
      <c r="F45" s="13"/>
      <c r="G45" s="26"/>
      <c r="H45" s="13"/>
      <c r="I45" s="13"/>
    </row>
    <row r="46" s="15" customFormat="1" ht="24" customHeight="1" spans="1:12">
      <c r="A46" s="18"/>
      <c r="B46" s="13"/>
      <c r="C46" s="13"/>
      <c r="D46" s="13"/>
      <c r="E46" s="13"/>
      <c r="F46" s="13"/>
      <c r="G46" s="26"/>
      <c r="H46" s="13"/>
      <c r="I46" s="13"/>
      <c r="L46" s="15" t="s">
        <v>356</v>
      </c>
    </row>
    <row r="47" s="15" customFormat="1" ht="24" customHeight="1" spans="1:12">
      <c r="A47" s="18"/>
      <c r="B47" s="13"/>
      <c r="C47" s="13"/>
      <c r="D47" s="13"/>
      <c r="E47" s="13"/>
      <c r="F47" s="13"/>
      <c r="G47" s="26"/>
      <c r="H47" s="13"/>
      <c r="I47" s="13"/>
    </row>
    <row r="48" s="16" customFormat="1" ht="24" customHeight="1" spans="1:12">
      <c r="A48" s="18"/>
      <c r="B48" s="13"/>
      <c r="C48" s="13"/>
      <c r="D48" s="13"/>
      <c r="E48" s="13"/>
      <c r="F48" s="13"/>
      <c r="G48" s="26"/>
      <c r="H48" s="13"/>
      <c r="I48" s="13"/>
    </row>
    <row r="49" s="15" customFormat="1" ht="24" customHeight="1" spans="1:9">
      <c r="A49" s="18"/>
      <c r="B49" s="13"/>
      <c r="C49" s="13"/>
      <c r="D49" s="13"/>
      <c r="E49" s="13"/>
      <c r="F49" s="13"/>
      <c r="G49" s="26"/>
      <c r="H49" s="13"/>
      <c r="I49" s="13"/>
    </row>
    <row r="50" s="15" customFormat="1" ht="24" customHeight="1" spans="1:9">
      <c r="A50" s="18"/>
      <c r="B50" s="13"/>
      <c r="C50" s="13"/>
      <c r="D50" s="13"/>
      <c r="E50" s="13"/>
      <c r="F50" s="13"/>
      <c r="G50" s="26"/>
      <c r="H50" s="13"/>
      <c r="I50" s="13"/>
    </row>
    <row r="51" s="15" customFormat="1" ht="24" customHeight="1" spans="1:9">
      <c r="A51" s="18"/>
      <c r="B51" s="13"/>
      <c r="C51" s="13"/>
      <c r="D51" s="13"/>
      <c r="E51" s="13"/>
      <c r="F51" s="13"/>
      <c r="G51" s="26"/>
      <c r="H51" s="13"/>
      <c r="I51" s="13"/>
    </row>
    <row r="52" s="15" customFormat="1" ht="24" customHeight="1" spans="1:9">
      <c r="A52" s="18"/>
      <c r="B52" s="13"/>
      <c r="C52" s="13"/>
      <c r="D52" s="13"/>
      <c r="E52" s="13"/>
      <c r="F52" s="13"/>
      <c r="G52" s="26"/>
      <c r="H52" s="13"/>
      <c r="I52" s="13"/>
    </row>
    <row r="53" s="15" customFormat="1" ht="24" customHeight="1" spans="1:9">
      <c r="A53" s="18"/>
      <c r="B53" s="13"/>
      <c r="C53" s="13"/>
      <c r="D53" s="13"/>
      <c r="E53" s="13"/>
      <c r="F53" s="13"/>
      <c r="G53" s="26"/>
      <c r="H53" s="13"/>
      <c r="I53" s="13"/>
    </row>
    <row r="54" s="15" customFormat="1" ht="24" customHeight="1" spans="1:9">
      <c r="A54" s="18"/>
      <c r="B54" s="13"/>
      <c r="C54" s="13"/>
      <c r="D54" s="13"/>
      <c r="E54" s="13"/>
      <c r="F54" s="13"/>
      <c r="G54" s="26"/>
      <c r="H54" s="13"/>
      <c r="I54" s="13"/>
    </row>
    <row r="55" s="15" customFormat="1" ht="24" customHeight="1" spans="1:9">
      <c r="A55" s="18"/>
      <c r="B55" s="13"/>
      <c r="C55" s="13"/>
      <c r="D55" s="13"/>
      <c r="E55" s="13"/>
      <c r="F55" s="13"/>
      <c r="G55" s="26"/>
      <c r="H55" s="13"/>
      <c r="I55" s="13"/>
    </row>
    <row r="56" s="15" customFormat="1" ht="24" customHeight="1" spans="1:9">
      <c r="A56" s="18"/>
      <c r="B56" s="13"/>
      <c r="C56" s="13"/>
      <c r="D56" s="13"/>
      <c r="E56" s="13"/>
      <c r="F56" s="13"/>
      <c r="G56" s="26"/>
      <c r="H56" s="13"/>
      <c r="I56" s="13"/>
    </row>
    <row r="57" s="15" customFormat="1" ht="24" customHeight="1" spans="1:9">
      <c r="A57" s="18"/>
      <c r="B57" s="13"/>
      <c r="C57" s="13"/>
      <c r="D57" s="13"/>
      <c r="E57" s="13"/>
      <c r="F57" s="13"/>
      <c r="G57" s="26"/>
      <c r="H57" s="13"/>
      <c r="I57" s="13"/>
    </row>
    <row r="58" s="15" customFormat="1" ht="24" customHeight="1" spans="1:9">
      <c r="A58" s="18"/>
      <c r="B58" s="13"/>
      <c r="C58" s="13"/>
      <c r="D58" s="13"/>
      <c r="E58" s="13"/>
      <c r="F58" s="13"/>
      <c r="G58" s="13"/>
      <c r="H58" s="13"/>
      <c r="I58" s="13"/>
    </row>
    <row r="59" s="15" customFormat="1" ht="24" customHeight="1" spans="1:9">
      <c r="A59" s="18"/>
      <c r="B59" s="13"/>
      <c r="C59" s="13"/>
      <c r="D59" s="13"/>
      <c r="E59" s="13"/>
      <c r="F59" s="13"/>
      <c r="G59" s="26"/>
      <c r="H59" s="13"/>
      <c r="I59" s="13"/>
    </row>
    <row r="60" s="15" customFormat="1" ht="24" customHeight="1" spans="1:9">
      <c r="A60" s="18"/>
      <c r="B60" s="13"/>
      <c r="C60" s="13"/>
      <c r="D60" s="13"/>
      <c r="E60" s="13"/>
      <c r="F60" s="13"/>
      <c r="G60" s="26"/>
      <c r="H60" s="13"/>
      <c r="I60" s="13"/>
    </row>
    <row r="61" s="15" customFormat="1" ht="24" customHeight="1" spans="1:9">
      <c r="A61" s="18"/>
      <c r="B61" s="13"/>
      <c r="C61" s="13"/>
      <c r="D61" s="13"/>
      <c r="E61" s="13"/>
      <c r="F61" s="13"/>
      <c r="G61" s="26"/>
      <c r="H61" s="13"/>
      <c r="I61" s="13"/>
    </row>
    <row r="62" s="15" customFormat="1" ht="24" customHeight="1" spans="1:9">
      <c r="A62" s="18"/>
      <c r="B62" s="13"/>
      <c r="C62" s="13"/>
      <c r="D62" s="13"/>
      <c r="E62" s="13"/>
      <c r="F62" s="13"/>
      <c r="G62" s="26"/>
      <c r="H62" s="13"/>
      <c r="I62" s="13"/>
    </row>
    <row r="63" s="15" customFormat="1" ht="24" customHeight="1" spans="1:9">
      <c r="A63" s="18"/>
      <c r="B63" s="13"/>
      <c r="C63" s="13"/>
      <c r="D63" s="13"/>
      <c r="E63" s="13"/>
      <c r="F63" s="13"/>
      <c r="G63" s="26"/>
      <c r="H63" s="13"/>
      <c r="I63" s="13"/>
    </row>
    <row r="64" s="15" customFormat="1" ht="24" customHeight="1" spans="1:9">
      <c r="A64" s="18"/>
      <c r="B64" s="13"/>
      <c r="C64" s="13"/>
      <c r="D64" s="13"/>
      <c r="E64" s="13"/>
      <c r="F64" s="13"/>
      <c r="G64" s="26"/>
      <c r="H64" s="13"/>
      <c r="I64" s="13"/>
    </row>
    <row r="65" s="15" customFormat="1" ht="24" customHeight="1" spans="1:9">
      <c r="A65" s="18"/>
      <c r="B65" s="13"/>
      <c r="C65" s="13"/>
      <c r="D65" s="13"/>
      <c r="E65" s="13"/>
      <c r="F65" s="13"/>
      <c r="G65" s="26"/>
      <c r="H65" s="13"/>
      <c r="I65" s="13"/>
    </row>
    <row r="66" s="15" customFormat="1" ht="24" customHeight="1" spans="1:9">
      <c r="A66" s="18"/>
      <c r="B66" s="13"/>
      <c r="C66" s="13"/>
      <c r="D66" s="13"/>
      <c r="E66" s="13"/>
      <c r="F66" s="13"/>
      <c r="G66" s="26"/>
      <c r="H66" s="13"/>
      <c r="I66" s="13"/>
    </row>
    <row r="67" s="15" customFormat="1" ht="24" customHeight="1" spans="1:9">
      <c r="A67" s="18"/>
      <c r="B67" s="13"/>
      <c r="C67" s="13"/>
      <c r="D67" s="13"/>
      <c r="E67" s="13"/>
      <c r="F67" s="13"/>
      <c r="G67" s="26"/>
      <c r="H67" s="13"/>
      <c r="I67" s="13"/>
    </row>
    <row r="68" s="15" customFormat="1" ht="24" customHeight="1" spans="1:9">
      <c r="A68" s="18"/>
      <c r="B68" s="13"/>
      <c r="C68" s="13"/>
      <c r="D68" s="13"/>
      <c r="E68" s="13"/>
      <c r="F68" s="13"/>
      <c r="G68" s="26"/>
      <c r="H68" s="13"/>
      <c r="I68" s="13"/>
    </row>
    <row r="69" s="15" customFormat="1" ht="24" customHeight="1" spans="1:9">
      <c r="A69" s="18"/>
      <c r="B69" s="13"/>
      <c r="C69" s="13"/>
      <c r="D69" s="13"/>
      <c r="E69" s="13"/>
      <c r="F69" s="13"/>
      <c r="G69" s="26"/>
      <c r="H69" s="13"/>
      <c r="I69" s="13"/>
    </row>
    <row r="70" s="15" customFormat="1" ht="24" customHeight="1" spans="1:9">
      <c r="A70" s="18"/>
      <c r="B70" s="13"/>
      <c r="C70" s="13"/>
      <c r="D70" s="13"/>
      <c r="E70" s="13"/>
      <c r="F70" s="13"/>
      <c r="G70" s="26"/>
      <c r="H70" s="13"/>
      <c r="I70" s="13"/>
    </row>
    <row r="71" s="15" customFormat="1" ht="24" customHeight="1" spans="1:9">
      <c r="A71" s="18"/>
      <c r="B71" s="13"/>
      <c r="C71" s="13"/>
      <c r="D71" s="13"/>
      <c r="E71" s="13"/>
      <c r="F71" s="13"/>
      <c r="G71" s="26"/>
      <c r="H71" s="13"/>
      <c r="I71" s="13"/>
    </row>
    <row r="72" s="15" customFormat="1" ht="24" customHeight="1" spans="1:9">
      <c r="A72" s="18"/>
      <c r="B72" s="13"/>
      <c r="C72" s="13"/>
      <c r="D72" s="13"/>
      <c r="E72" s="13"/>
      <c r="F72" s="13"/>
      <c r="G72" s="26"/>
      <c r="H72" s="13"/>
      <c r="I72" s="13"/>
    </row>
    <row r="73" s="15" customFormat="1" ht="24" customHeight="1" spans="1:9">
      <c r="A73" s="18"/>
      <c r="B73" s="13"/>
      <c r="C73" s="13"/>
      <c r="D73" s="13"/>
      <c r="E73" s="13"/>
      <c r="F73" s="13"/>
      <c r="G73" s="26"/>
      <c r="H73" s="13"/>
      <c r="I73" s="13"/>
    </row>
    <row r="74" s="15" customFormat="1" ht="24" customHeight="1" spans="1:9">
      <c r="A74" s="18"/>
      <c r="B74" s="13"/>
      <c r="C74" s="13"/>
      <c r="D74" s="13"/>
      <c r="E74" s="13"/>
      <c r="F74" s="13"/>
      <c r="G74" s="26"/>
      <c r="H74" s="13"/>
      <c r="I74" s="13"/>
    </row>
    <row r="75" s="15" customFormat="1" ht="24" customHeight="1" spans="1:9">
      <c r="A75" s="18"/>
      <c r="B75" s="13"/>
      <c r="C75" s="13"/>
      <c r="D75" s="13"/>
      <c r="E75" s="13"/>
      <c r="F75" s="13"/>
      <c r="G75" s="26"/>
      <c r="H75" s="13"/>
      <c r="I75" s="13"/>
    </row>
    <row r="76" s="15" customFormat="1" ht="24" customHeight="1" spans="1:9">
      <c r="A76" s="18"/>
      <c r="B76" s="13"/>
      <c r="C76" s="13"/>
      <c r="D76" s="13"/>
      <c r="E76" s="13"/>
      <c r="F76" s="13"/>
      <c r="G76" s="26"/>
      <c r="H76" s="13"/>
      <c r="I76" s="13"/>
    </row>
    <row r="77" s="15" customFormat="1" ht="24" customHeight="1" spans="1:9">
      <c r="A77" s="18"/>
      <c r="B77" s="13"/>
      <c r="C77" s="13"/>
      <c r="D77" s="13"/>
      <c r="E77" s="13"/>
      <c r="F77" s="13"/>
      <c r="G77" s="26"/>
      <c r="H77" s="13"/>
      <c r="I77" s="13"/>
    </row>
    <row r="78" s="15" customFormat="1" ht="24" customHeight="1" spans="1:9">
      <c r="A78" s="18"/>
      <c r="B78" s="13"/>
      <c r="C78" s="13"/>
      <c r="D78" s="13"/>
      <c r="E78" s="13"/>
      <c r="F78" s="13"/>
      <c r="G78" s="26"/>
      <c r="H78" s="13"/>
      <c r="I78" s="13"/>
    </row>
    <row r="79" s="15" customFormat="1" ht="24" customHeight="1" spans="1:9">
      <c r="A79" s="18"/>
      <c r="B79" s="13"/>
      <c r="C79" s="13"/>
      <c r="D79" s="13"/>
      <c r="E79" s="13"/>
      <c r="F79" s="13"/>
      <c r="G79" s="26"/>
      <c r="H79" s="13"/>
      <c r="I79" s="13"/>
    </row>
    <row r="80" s="15" customFormat="1" ht="24" customHeight="1" spans="1:9">
      <c r="A80" s="18"/>
      <c r="B80" s="13"/>
      <c r="C80" s="13"/>
      <c r="D80" s="13"/>
      <c r="E80" s="13"/>
      <c r="F80" s="13"/>
      <c r="G80" s="26"/>
      <c r="H80" s="13"/>
      <c r="I80" s="13"/>
    </row>
    <row r="81" s="15" customFormat="1" ht="24" customHeight="1" spans="1:9">
      <c r="A81" s="18"/>
      <c r="B81" s="13"/>
      <c r="C81" s="13"/>
      <c r="D81" s="13"/>
      <c r="E81" s="13"/>
      <c r="F81" s="13"/>
      <c r="G81" s="26"/>
      <c r="H81" s="13"/>
      <c r="I81" s="13"/>
    </row>
    <row r="82" s="15" customFormat="1" ht="24" customHeight="1" spans="1:9">
      <c r="A82" s="18"/>
      <c r="B82" s="13"/>
      <c r="C82" s="13"/>
      <c r="D82" s="13"/>
      <c r="E82" s="13"/>
      <c r="F82" s="13"/>
      <c r="G82" s="26"/>
      <c r="H82" s="13"/>
      <c r="I82" s="13"/>
    </row>
    <row r="83" s="15" customFormat="1" ht="24" customHeight="1" spans="1:9">
      <c r="A83" s="18"/>
      <c r="B83" s="13"/>
      <c r="C83" s="13"/>
      <c r="D83" s="13"/>
      <c r="E83" s="13"/>
      <c r="F83" s="13"/>
      <c r="G83" s="26"/>
      <c r="H83" s="13"/>
      <c r="I83" s="13"/>
    </row>
    <row r="84" s="15" customFormat="1" ht="24" customHeight="1" spans="1:9">
      <c r="A84" s="18"/>
      <c r="B84" s="13"/>
      <c r="C84" s="13"/>
      <c r="D84" s="13"/>
      <c r="E84" s="13"/>
      <c r="F84" s="13"/>
      <c r="G84" s="26"/>
      <c r="H84" s="13"/>
      <c r="I84" s="13"/>
    </row>
    <row r="85" s="15" customFormat="1" ht="27" customHeight="1" spans="1:9">
      <c r="A85" s="18"/>
      <c r="B85" s="13"/>
      <c r="C85" s="13"/>
      <c r="D85" s="13"/>
      <c r="E85" s="13"/>
      <c r="F85" s="13"/>
      <c r="G85" s="26"/>
      <c r="H85" s="13"/>
      <c r="I85" s="13"/>
    </row>
    <row r="86" s="15" customFormat="1" ht="24" customHeight="1" spans="1:9">
      <c r="A86" s="18"/>
      <c r="B86" s="13"/>
      <c r="C86" s="13"/>
      <c r="D86" s="13"/>
      <c r="E86" s="13"/>
      <c r="F86" s="13"/>
      <c r="G86" s="26"/>
      <c r="H86" s="13"/>
      <c r="I86" s="13"/>
    </row>
    <row r="87" s="15" customFormat="1" ht="22" customHeight="1" spans="1:9">
      <c r="A87" s="18"/>
      <c r="B87" s="13"/>
      <c r="C87" s="13"/>
      <c r="D87" s="13"/>
      <c r="E87" s="13"/>
      <c r="F87" s="13"/>
      <c r="G87" s="26"/>
      <c r="H87" s="13"/>
      <c r="I87" s="13"/>
    </row>
    <row r="88" s="15" customFormat="1" ht="24" customHeight="1" spans="1:9">
      <c r="A88" s="18"/>
      <c r="B88" s="13"/>
      <c r="C88" s="13"/>
      <c r="D88" s="13"/>
      <c r="E88" s="13"/>
      <c r="F88" s="13"/>
      <c r="G88" s="26"/>
      <c r="H88" s="13"/>
      <c r="I88" s="13"/>
    </row>
    <row r="89" s="15" customFormat="1" ht="24" customHeight="1" spans="1:9">
      <c r="A89" s="18"/>
      <c r="B89" s="13"/>
      <c r="C89" s="13"/>
      <c r="D89" s="13"/>
      <c r="E89" s="13"/>
      <c r="F89" s="13"/>
      <c r="G89" s="26"/>
      <c r="H89" s="13"/>
      <c r="I89" s="13"/>
    </row>
    <row r="90" s="15" customFormat="1" ht="24" customHeight="1" spans="1:9">
      <c r="A90" s="18"/>
      <c r="B90" s="13"/>
      <c r="C90" s="13"/>
      <c r="D90" s="13"/>
      <c r="E90" s="13"/>
      <c r="F90" s="13"/>
      <c r="G90" s="26"/>
      <c r="H90" s="13"/>
      <c r="I90" s="13"/>
    </row>
    <row r="91" s="15" customFormat="1" ht="24" customHeight="1" spans="1:9">
      <c r="A91" s="18"/>
      <c r="B91" s="13"/>
      <c r="C91" s="13"/>
      <c r="D91" s="13"/>
      <c r="E91" s="13"/>
      <c r="F91" s="13"/>
      <c r="G91" s="26"/>
      <c r="H91" s="13"/>
      <c r="I91" s="13"/>
    </row>
    <row r="92" s="15" customFormat="1" ht="26" customHeight="1" spans="1:9">
      <c r="A92" s="18"/>
      <c r="B92" s="13"/>
      <c r="C92" s="13"/>
      <c r="D92" s="13"/>
      <c r="E92" s="13"/>
      <c r="F92" s="13"/>
      <c r="G92" s="26"/>
      <c r="H92" s="13"/>
      <c r="I92" s="13"/>
    </row>
    <row r="93" s="15" customFormat="1" ht="26" customHeight="1" spans="1:9">
      <c r="A93" s="18"/>
      <c r="B93" s="13"/>
      <c r="C93" s="13"/>
      <c r="D93" s="13"/>
      <c r="E93" s="13"/>
      <c r="F93" s="13"/>
      <c r="G93" s="26"/>
      <c r="H93" s="13"/>
      <c r="I93" s="13"/>
    </row>
    <row r="94" s="15" customFormat="1" ht="26" customHeight="1" spans="1:9">
      <c r="A94" s="18"/>
      <c r="B94" s="13"/>
      <c r="C94" s="13"/>
      <c r="D94" s="13"/>
      <c r="E94" s="13"/>
      <c r="F94" s="13"/>
      <c r="G94" s="26"/>
      <c r="H94" s="13"/>
      <c r="I94" s="13"/>
    </row>
    <row r="95" s="15" customFormat="1" ht="26" customHeight="1" spans="1:9">
      <c r="A95" s="18"/>
      <c r="B95" s="13"/>
      <c r="C95" s="13"/>
      <c r="D95" s="13"/>
      <c r="E95" s="13"/>
      <c r="F95" s="13"/>
      <c r="G95" s="26"/>
      <c r="H95" s="13"/>
      <c r="I95" s="13"/>
    </row>
    <row r="96" s="15" customFormat="1" ht="26" customHeight="1" spans="1:9">
      <c r="A96" s="18"/>
      <c r="B96" s="13"/>
      <c r="C96" s="13"/>
      <c r="D96" s="13"/>
      <c r="E96" s="13"/>
      <c r="F96" s="13"/>
      <c r="G96" s="26"/>
      <c r="H96" s="13"/>
      <c r="I96" s="13"/>
    </row>
    <row r="97" s="15" customFormat="1" ht="26" customHeight="1" spans="1:9">
      <c r="A97" s="18"/>
      <c r="B97" s="13"/>
      <c r="C97" s="13"/>
      <c r="D97" s="13"/>
      <c r="E97" s="13"/>
      <c r="F97" s="13"/>
      <c r="G97" s="26"/>
      <c r="H97" s="13"/>
      <c r="I97" s="13"/>
    </row>
    <row r="98" s="15" customFormat="1" ht="26" customHeight="1" spans="1:9">
      <c r="A98" s="18"/>
      <c r="B98" s="13"/>
      <c r="C98" s="13"/>
      <c r="D98" s="13"/>
      <c r="E98" s="13"/>
      <c r="F98" s="13"/>
      <c r="G98" s="26"/>
      <c r="H98" s="13"/>
      <c r="I98" s="13"/>
    </row>
    <row r="99" s="15" customFormat="1" ht="26" customHeight="1" spans="1:9">
      <c r="A99" s="18"/>
      <c r="B99" s="13"/>
      <c r="C99" s="13"/>
      <c r="D99" s="13"/>
      <c r="E99" s="13"/>
      <c r="F99" s="13"/>
      <c r="G99" s="26"/>
      <c r="H99" s="13"/>
      <c r="I99" s="13"/>
    </row>
    <row r="100" s="15" customFormat="1" ht="26" customHeight="1" spans="1:9">
      <c r="A100" s="18"/>
      <c r="B100" s="13"/>
      <c r="C100" s="13"/>
      <c r="D100" s="13"/>
      <c r="E100" s="13"/>
      <c r="F100" s="13"/>
      <c r="G100" s="26"/>
      <c r="H100" s="13"/>
      <c r="I100" s="13"/>
    </row>
    <row r="101" s="15" customFormat="1" ht="26" customHeight="1" spans="1:9">
      <c r="A101" s="18"/>
      <c r="B101" s="13"/>
      <c r="C101" s="13"/>
      <c r="D101" s="13"/>
      <c r="E101" s="13"/>
      <c r="F101" s="13"/>
      <c r="G101" s="26"/>
      <c r="H101" s="13"/>
      <c r="I101" s="13"/>
    </row>
    <row r="102" s="15" customFormat="1" ht="26" customHeight="1" spans="1:9">
      <c r="A102" s="18"/>
      <c r="B102" s="13"/>
      <c r="C102" s="13"/>
      <c r="D102" s="13"/>
      <c r="E102" s="13"/>
      <c r="F102" s="13"/>
      <c r="G102" s="26"/>
      <c r="H102" s="13"/>
      <c r="I102" s="13"/>
    </row>
    <row r="103" s="15" customFormat="1" ht="26" customHeight="1" spans="1:9">
      <c r="A103" s="18"/>
      <c r="B103" s="13"/>
      <c r="C103" s="13"/>
      <c r="D103" s="13"/>
      <c r="E103" s="13"/>
      <c r="F103" s="13"/>
      <c r="G103" s="26"/>
      <c r="H103" s="13"/>
      <c r="I103" s="13"/>
    </row>
    <row r="104" s="15" customFormat="1" ht="26" customHeight="1" spans="1:9">
      <c r="A104" s="18"/>
      <c r="B104" s="13"/>
      <c r="C104" s="13"/>
      <c r="D104" s="13"/>
      <c r="E104" s="13"/>
      <c r="F104" s="13"/>
      <c r="G104" s="26"/>
      <c r="H104" s="13"/>
      <c r="I104" s="13"/>
    </row>
    <row r="105" s="15" customFormat="1" ht="26" customHeight="1" spans="1:9">
      <c r="A105" s="18"/>
      <c r="B105" s="13"/>
      <c r="C105" s="13"/>
      <c r="D105" s="13"/>
      <c r="E105" s="13"/>
      <c r="F105" s="13"/>
      <c r="G105" s="26"/>
      <c r="H105" s="13"/>
      <c r="I105" s="21"/>
    </row>
    <row r="106" s="15" customFormat="1" ht="26" customHeight="1" spans="1:9">
      <c r="A106" s="18"/>
      <c r="B106" s="13"/>
      <c r="C106" s="13"/>
      <c r="D106" s="13"/>
      <c r="E106" s="13"/>
      <c r="F106" s="13"/>
      <c r="G106" s="26"/>
      <c r="H106" s="13"/>
      <c r="I106" s="13"/>
    </row>
    <row r="107" s="15" customFormat="1" ht="26" customHeight="1" spans="1:9">
      <c r="A107" s="18"/>
      <c r="B107" s="13"/>
      <c r="C107" s="13"/>
      <c r="D107" s="13"/>
      <c r="E107" s="13"/>
      <c r="F107" s="13"/>
      <c r="G107" s="26"/>
      <c r="H107" s="13"/>
      <c r="I107" s="13"/>
    </row>
    <row r="108" s="15" customFormat="1" ht="26" customHeight="1" spans="1:9">
      <c r="A108" s="18"/>
      <c r="B108" s="13"/>
      <c r="C108" s="13"/>
      <c r="D108" s="13"/>
      <c r="E108" s="13"/>
      <c r="F108" s="13"/>
      <c r="G108" s="26"/>
      <c r="H108" s="13"/>
      <c r="I108" s="13"/>
    </row>
    <row r="109" s="15" customFormat="1" ht="26" customHeight="1" spans="1:9">
      <c r="A109" s="18"/>
      <c r="B109" s="13"/>
      <c r="C109" s="13"/>
      <c r="D109" s="13"/>
      <c r="E109" s="13"/>
      <c r="F109" s="13"/>
      <c r="G109" s="26"/>
      <c r="H109" s="13"/>
      <c r="I109" s="13"/>
    </row>
    <row r="110" s="15" customFormat="1" ht="26" customHeight="1" spans="1:9">
      <c r="A110" s="18"/>
      <c r="B110" s="13"/>
      <c r="C110" s="13"/>
      <c r="D110" s="13"/>
      <c r="E110" s="13"/>
      <c r="F110" s="13"/>
      <c r="G110" s="26"/>
      <c r="H110" s="13"/>
      <c r="I110" s="13"/>
    </row>
    <row r="111" s="15" customFormat="1" ht="26" customHeight="1" spans="1:9">
      <c r="A111" s="18"/>
      <c r="B111" s="13"/>
      <c r="C111" s="13"/>
      <c r="D111" s="13"/>
      <c r="E111" s="13"/>
      <c r="F111" s="13"/>
      <c r="G111" s="26"/>
      <c r="H111" s="13"/>
      <c r="I111" s="13"/>
    </row>
    <row r="112" s="15" customFormat="1" ht="26" customHeight="1" spans="1:9">
      <c r="A112" s="18"/>
      <c r="B112" s="13"/>
      <c r="C112" s="13"/>
      <c r="D112" s="13"/>
      <c r="E112" s="13"/>
      <c r="F112" s="13"/>
      <c r="G112" s="26"/>
      <c r="H112" s="13"/>
      <c r="I112" s="13"/>
    </row>
    <row r="113" s="15" customFormat="1" ht="26" customHeight="1" spans="1:9">
      <c r="A113" s="18"/>
      <c r="B113" s="13"/>
      <c r="C113" s="13"/>
      <c r="D113" s="13"/>
      <c r="E113" s="13"/>
      <c r="F113" s="13"/>
      <c r="G113" s="26"/>
      <c r="H113" s="13"/>
      <c r="I113" s="13"/>
    </row>
    <row r="114" s="15" customFormat="1" ht="26" customHeight="1" spans="1:9">
      <c r="A114" s="18"/>
      <c r="B114" s="13"/>
      <c r="C114" s="13"/>
      <c r="D114" s="13"/>
      <c r="E114" s="13"/>
      <c r="F114" s="13"/>
      <c r="G114" s="26"/>
      <c r="H114" s="13"/>
      <c r="I114" s="13"/>
    </row>
    <row r="115" s="15" customFormat="1" ht="26" customHeight="1" spans="1:9">
      <c r="A115" s="18"/>
      <c r="B115" s="18"/>
      <c r="C115" s="27"/>
      <c r="D115" s="13"/>
      <c r="E115" s="13"/>
      <c r="F115" s="13"/>
      <c r="G115" s="26"/>
      <c r="H115" s="13"/>
      <c r="I115" s="13"/>
    </row>
    <row r="116" s="15" customFormat="1" ht="26" customHeight="1" spans="1:9">
      <c r="A116" s="18"/>
      <c r="B116" s="18"/>
      <c r="C116" s="27"/>
      <c r="D116" s="13"/>
      <c r="E116" s="13"/>
      <c r="F116" s="13"/>
      <c r="G116" s="26"/>
      <c r="H116" s="13"/>
      <c r="I116" s="13"/>
    </row>
    <row r="117" s="15" customFormat="1" ht="26" customHeight="1" spans="1:9">
      <c r="A117" s="18"/>
      <c r="B117" s="18"/>
      <c r="C117" s="27"/>
      <c r="D117" s="13"/>
      <c r="E117" s="13"/>
      <c r="F117" s="13"/>
      <c r="G117" s="26"/>
      <c r="H117" s="13"/>
      <c r="I117" s="13"/>
    </row>
    <row r="118" s="15" customFormat="1" ht="26" customHeight="1" spans="1:9">
      <c r="A118" s="18"/>
      <c r="B118" s="18"/>
      <c r="C118" s="27"/>
      <c r="D118" s="13"/>
      <c r="E118" s="13"/>
      <c r="F118" s="13"/>
      <c r="G118" s="26"/>
      <c r="H118" s="13"/>
      <c r="I118" s="13"/>
    </row>
    <row r="119" s="15" customFormat="1" ht="26" customHeight="1" spans="1:9">
      <c r="A119" s="18"/>
      <c r="B119" s="18"/>
      <c r="C119" s="27"/>
      <c r="D119" s="13"/>
      <c r="E119" s="13"/>
      <c r="F119" s="13"/>
      <c r="G119" s="26"/>
      <c r="H119" s="13"/>
      <c r="I119" s="13"/>
    </row>
    <row r="120" s="15" customFormat="1" ht="26" customHeight="1" spans="1:9">
      <c r="A120" s="18"/>
      <c r="B120" s="18"/>
      <c r="C120" s="27"/>
      <c r="D120" s="13"/>
      <c r="E120" s="13"/>
      <c r="F120" s="13"/>
      <c r="G120" s="26"/>
      <c r="H120" s="13"/>
      <c r="I120" s="13"/>
    </row>
    <row r="121" s="15" customFormat="1" ht="26" customHeight="1" spans="1:9">
      <c r="A121" s="18"/>
      <c r="B121" s="18"/>
      <c r="C121" s="27"/>
      <c r="D121" s="13"/>
      <c r="E121" s="13"/>
      <c r="F121" s="13"/>
      <c r="G121" s="26"/>
      <c r="H121" s="13"/>
      <c r="I121" s="13"/>
    </row>
    <row r="122" s="15" customFormat="1" ht="26" customHeight="1" spans="1:9">
      <c r="A122" s="18"/>
      <c r="B122" s="18"/>
      <c r="C122" s="27"/>
      <c r="D122" s="13"/>
      <c r="E122" s="13"/>
      <c r="F122" s="13"/>
      <c r="G122" s="26"/>
      <c r="H122" s="13"/>
      <c r="I122" s="13"/>
    </row>
    <row r="123" s="15" customFormat="1" ht="26" customHeight="1" spans="1:9">
      <c r="A123" s="18"/>
      <c r="B123" s="18"/>
      <c r="C123" s="27"/>
      <c r="D123" s="13"/>
      <c r="E123" s="13"/>
      <c r="F123" s="13"/>
      <c r="G123" s="26"/>
      <c r="H123" s="13"/>
      <c r="I123" s="13"/>
    </row>
    <row r="124" s="15" customFormat="1" ht="26" customHeight="1" spans="1:9">
      <c r="A124" s="18"/>
      <c r="B124" s="18"/>
      <c r="C124" s="27"/>
      <c r="D124" s="13"/>
      <c r="E124" s="13"/>
      <c r="F124" s="13"/>
      <c r="G124" s="26"/>
      <c r="H124" s="13"/>
      <c r="I124" s="13"/>
    </row>
    <row r="125" s="15" customFormat="1" ht="26" customHeight="1" spans="1:9">
      <c r="A125" s="18"/>
      <c r="B125" s="18"/>
      <c r="C125" s="27"/>
      <c r="D125" s="13"/>
      <c r="E125" s="13"/>
      <c r="F125" s="13"/>
      <c r="G125" s="26"/>
      <c r="H125" s="13"/>
      <c r="I125" s="13"/>
    </row>
    <row r="126" s="15" customFormat="1" ht="26" customHeight="1" spans="1:9">
      <c r="A126" s="18"/>
      <c r="B126" s="18"/>
      <c r="C126" s="27"/>
      <c r="D126" s="18"/>
      <c r="E126" s="18"/>
      <c r="F126" s="18"/>
      <c r="G126" s="18"/>
      <c r="H126" s="13"/>
      <c r="I126" s="18"/>
    </row>
    <row r="127" s="15" customFormat="1" ht="26" customHeight="1" spans="1:9">
      <c r="A127" s="18"/>
      <c r="B127" s="18"/>
      <c r="C127" s="27"/>
      <c r="D127" s="13"/>
      <c r="E127" s="13"/>
      <c r="F127" s="13"/>
      <c r="G127" s="26"/>
      <c r="H127" s="13"/>
      <c r="I127" s="13"/>
    </row>
    <row r="128" s="15" customFormat="1" ht="26" customHeight="1" spans="1:9">
      <c r="A128" s="18"/>
      <c r="B128" s="18"/>
      <c r="C128" s="27"/>
      <c r="D128" s="13"/>
      <c r="E128" s="13"/>
      <c r="F128" s="13"/>
      <c r="G128" s="26"/>
      <c r="H128" s="13"/>
      <c r="I128" s="13"/>
    </row>
    <row r="129" s="15" customFormat="1" ht="26" customHeight="1" spans="1:9">
      <c r="A129" s="18"/>
      <c r="B129" s="18"/>
      <c r="C129" s="27"/>
      <c r="D129" s="13"/>
      <c r="E129" s="13"/>
      <c r="F129" s="13"/>
      <c r="G129" s="26"/>
      <c r="H129" s="13"/>
      <c r="I129" s="13"/>
    </row>
    <row r="130" s="15" customFormat="1" ht="26" customHeight="1" spans="1:9">
      <c r="A130" s="18"/>
      <c r="B130" s="18"/>
      <c r="C130" s="27"/>
      <c r="D130" s="13"/>
      <c r="E130" s="13"/>
      <c r="F130" s="13"/>
      <c r="G130" s="26"/>
      <c r="H130" s="13"/>
      <c r="I130" s="13"/>
    </row>
    <row r="131" s="15" customFormat="1" ht="26" customHeight="1" spans="1:9">
      <c r="A131" s="18"/>
      <c r="B131" s="18"/>
      <c r="C131" s="27"/>
      <c r="D131" s="13"/>
      <c r="E131" s="13"/>
      <c r="F131" s="13"/>
      <c r="G131" s="26"/>
      <c r="H131" s="13"/>
      <c r="I131" s="13"/>
    </row>
    <row r="132" s="15" customFormat="1" ht="26" customHeight="1" spans="1:9">
      <c r="A132" s="18"/>
      <c r="B132" s="18"/>
      <c r="C132" s="27"/>
      <c r="D132" s="13"/>
      <c r="E132" s="13"/>
      <c r="F132" s="13"/>
      <c r="G132" s="26"/>
      <c r="H132" s="13"/>
      <c r="I132" s="13"/>
    </row>
    <row r="133" s="15" customFormat="1" ht="26" customHeight="1" spans="1:9">
      <c r="A133" s="18"/>
      <c r="B133" s="18"/>
      <c r="C133" s="27"/>
      <c r="D133" s="13"/>
      <c r="E133" s="13"/>
      <c r="F133" s="13"/>
      <c r="G133" s="26"/>
      <c r="H133" s="13"/>
      <c r="I133" s="13"/>
    </row>
    <row r="134" s="15" customFormat="1" ht="26" customHeight="1" spans="1:9">
      <c r="A134" s="18"/>
      <c r="B134" s="18"/>
      <c r="C134" s="27"/>
      <c r="D134" s="13"/>
      <c r="E134" s="13"/>
      <c r="F134" s="13"/>
      <c r="G134" s="26"/>
      <c r="H134" s="13"/>
      <c r="I134" s="13"/>
    </row>
    <row r="135" s="15" customFormat="1" ht="26" customHeight="1" spans="1:9">
      <c r="A135" s="18"/>
      <c r="B135" s="18"/>
      <c r="C135" s="27"/>
      <c r="D135" s="13"/>
      <c r="E135" s="13"/>
      <c r="F135" s="13"/>
      <c r="G135" s="26"/>
      <c r="H135" s="13"/>
      <c r="I135" s="13"/>
    </row>
    <row r="136" s="15" customFormat="1" ht="26" customHeight="1" spans="1:9">
      <c r="A136" s="18"/>
      <c r="B136" s="18"/>
      <c r="C136" s="27"/>
      <c r="D136" s="13"/>
      <c r="E136" s="13"/>
      <c r="F136" s="13"/>
      <c r="G136" s="26"/>
      <c r="H136" s="13"/>
      <c r="I136" s="13"/>
    </row>
    <row r="137" s="15" customFormat="1" ht="26" customHeight="1" spans="1:9">
      <c r="A137" s="18"/>
      <c r="B137" s="18"/>
      <c r="C137" s="27"/>
      <c r="D137" s="13"/>
      <c r="E137" s="13"/>
      <c r="F137" s="13"/>
      <c r="G137" s="26"/>
      <c r="H137" s="13"/>
      <c r="I137" s="13"/>
    </row>
    <row r="138" s="15" customFormat="1" ht="26" customHeight="1" spans="1:9">
      <c r="A138" s="18"/>
      <c r="B138" s="18"/>
      <c r="C138" s="27"/>
      <c r="D138" s="13"/>
      <c r="E138" s="13"/>
      <c r="F138" s="13"/>
      <c r="G138" s="26"/>
      <c r="H138" s="13"/>
      <c r="I138" s="13"/>
    </row>
    <row r="139" s="15" customFormat="1" ht="26" customHeight="1" spans="1:9">
      <c r="A139" s="18"/>
      <c r="B139" s="18"/>
      <c r="C139" s="27"/>
      <c r="D139" s="13"/>
      <c r="E139" s="13"/>
      <c r="F139" s="13"/>
      <c r="G139" s="26"/>
      <c r="H139" s="13"/>
      <c r="I139" s="13"/>
    </row>
    <row r="140" s="15" customFormat="1" ht="26" customHeight="1" spans="1:9">
      <c r="A140" s="18"/>
      <c r="B140" s="18"/>
      <c r="C140" s="27"/>
      <c r="D140" s="18"/>
      <c r="E140" s="18"/>
      <c r="F140" s="18"/>
      <c r="G140" s="18"/>
      <c r="H140" s="13"/>
      <c r="I140" s="18"/>
    </row>
    <row r="141" s="15" customFormat="1" ht="26" customHeight="1" spans="1:9">
      <c r="A141" s="18"/>
      <c r="B141" s="18"/>
      <c r="C141" s="27"/>
      <c r="D141" s="13"/>
      <c r="E141" s="13"/>
      <c r="F141" s="13"/>
      <c r="G141" s="26"/>
      <c r="H141" s="13"/>
      <c r="I141" s="13"/>
    </row>
    <row r="142" s="15" customFormat="1" ht="26" customHeight="1" spans="1:9">
      <c r="A142" s="18"/>
      <c r="B142" s="18"/>
      <c r="C142" s="27"/>
      <c r="D142" s="13"/>
      <c r="E142" s="13"/>
      <c r="F142" s="13"/>
      <c r="G142" s="26"/>
      <c r="H142" s="13"/>
      <c r="I142" s="13"/>
    </row>
    <row r="143" s="15" customFormat="1" ht="26" customHeight="1" spans="1:9">
      <c r="A143" s="18"/>
      <c r="B143" s="18"/>
      <c r="C143" s="27"/>
      <c r="D143" s="13"/>
      <c r="E143" s="13"/>
      <c r="F143" s="13"/>
      <c r="G143" s="26"/>
      <c r="H143" s="13"/>
      <c r="I143" s="13"/>
    </row>
    <row r="144" s="15" customFormat="1" ht="26" customHeight="1" spans="1:9">
      <c r="A144" s="18"/>
      <c r="B144" s="18"/>
      <c r="C144" s="27"/>
      <c r="D144" s="13"/>
      <c r="E144" s="13"/>
      <c r="F144" s="13"/>
      <c r="G144" s="26"/>
      <c r="H144" s="13"/>
      <c r="I144" s="13"/>
    </row>
    <row r="145" s="15" customFormat="1" ht="26" customHeight="1" spans="1:9">
      <c r="A145" s="18"/>
      <c r="B145" s="18"/>
      <c r="C145" s="27"/>
      <c r="D145" s="13"/>
      <c r="E145" s="13"/>
      <c r="F145" s="13"/>
      <c r="G145" s="26"/>
      <c r="H145" s="13"/>
      <c r="I145" s="13"/>
    </row>
    <row r="146" s="15" customFormat="1" ht="26" customHeight="1" spans="1:9">
      <c r="A146" s="18"/>
      <c r="B146" s="18"/>
      <c r="C146" s="27"/>
      <c r="D146" s="13"/>
      <c r="E146" s="13"/>
      <c r="F146" s="13"/>
      <c r="G146" s="26"/>
      <c r="H146" s="13"/>
      <c r="I146" s="13"/>
    </row>
    <row r="147" s="15" customFormat="1" ht="26" customHeight="1" spans="1:9">
      <c r="A147" s="18"/>
      <c r="B147" s="18"/>
      <c r="C147" s="27"/>
      <c r="D147" s="13"/>
      <c r="E147" s="13"/>
      <c r="F147" s="13"/>
      <c r="G147" s="26"/>
      <c r="H147" s="13"/>
      <c r="I147" s="13"/>
    </row>
    <row r="148" s="15" customFormat="1" ht="26" customHeight="1" spans="1:9">
      <c r="A148" s="18"/>
      <c r="B148" s="18"/>
      <c r="C148" s="27"/>
      <c r="D148" s="13"/>
      <c r="E148" s="13"/>
      <c r="F148" s="13"/>
      <c r="G148" s="26"/>
      <c r="H148" s="13"/>
      <c r="I148" s="13"/>
    </row>
    <row r="149" s="15" customFormat="1" ht="26" customHeight="1" spans="1:9">
      <c r="A149" s="18"/>
      <c r="B149" s="18"/>
      <c r="C149" s="27"/>
      <c r="D149" s="18"/>
      <c r="E149" s="18"/>
      <c r="F149" s="18"/>
      <c r="G149" s="18"/>
      <c r="H149" s="13"/>
      <c r="I149" s="18"/>
    </row>
    <row r="150" s="15" customFormat="1" ht="26" customHeight="1" spans="1:9">
      <c r="A150" s="18"/>
      <c r="B150" s="18"/>
      <c r="C150" s="27"/>
      <c r="D150" s="13"/>
      <c r="E150" s="13"/>
      <c r="F150" s="13"/>
      <c r="G150" s="26"/>
      <c r="H150" s="13"/>
      <c r="I150" s="13"/>
    </row>
    <row r="151" s="15" customFormat="1" ht="26" customHeight="1" spans="1:9">
      <c r="A151" s="18"/>
      <c r="B151" s="18"/>
      <c r="C151" s="27"/>
      <c r="D151" s="13"/>
      <c r="E151" s="13"/>
      <c r="F151" s="13"/>
      <c r="G151" s="26"/>
      <c r="H151" s="13"/>
      <c r="I151" s="13"/>
    </row>
    <row r="152" s="15" customFormat="1" ht="26" customHeight="1" spans="1:9">
      <c r="A152" s="18"/>
      <c r="B152" s="18"/>
      <c r="C152" s="27"/>
      <c r="D152" s="13"/>
      <c r="E152" s="13"/>
      <c r="F152" s="13"/>
      <c r="G152" s="26"/>
      <c r="H152" s="13"/>
      <c r="I152" s="13"/>
    </row>
    <row r="153" s="15" customFormat="1" ht="26" customHeight="1" spans="1:9">
      <c r="A153" s="18"/>
      <c r="B153" s="18"/>
      <c r="C153" s="27"/>
      <c r="D153" s="13"/>
      <c r="E153" s="13"/>
      <c r="F153" s="13"/>
      <c r="G153" s="26"/>
      <c r="H153" s="13"/>
      <c r="I153" s="13"/>
    </row>
    <row r="154" s="15" customFormat="1" ht="26" customHeight="1" spans="1:9">
      <c r="A154" s="18"/>
      <c r="B154" s="18"/>
      <c r="C154" s="27"/>
      <c r="D154" s="13"/>
      <c r="E154" s="13"/>
      <c r="F154" s="13"/>
      <c r="G154" s="26"/>
      <c r="H154" s="13"/>
      <c r="I154" s="13"/>
    </row>
    <row r="155" s="15" customFormat="1" ht="26" customHeight="1" spans="1:9">
      <c r="A155" s="18"/>
      <c r="B155" s="18"/>
      <c r="C155" s="27"/>
      <c r="D155" s="13"/>
      <c r="E155" s="13"/>
      <c r="F155" s="13"/>
      <c r="G155" s="26"/>
      <c r="H155" s="13"/>
      <c r="I155" s="13"/>
    </row>
    <row r="156" s="15" customFormat="1" ht="26" customHeight="1" spans="1:9">
      <c r="A156" s="18"/>
      <c r="B156" s="18"/>
      <c r="C156" s="27"/>
      <c r="D156" s="13"/>
      <c r="E156" s="13"/>
      <c r="F156" s="13"/>
      <c r="G156" s="26"/>
      <c r="H156" s="13"/>
      <c r="I156" s="13"/>
    </row>
    <row r="157" s="15" customFormat="1" ht="26" customHeight="1" spans="1:9">
      <c r="A157" s="18"/>
      <c r="B157" s="18"/>
      <c r="C157" s="27"/>
      <c r="D157" s="13"/>
      <c r="E157" s="13"/>
      <c r="F157" s="13"/>
      <c r="G157" s="26"/>
      <c r="H157" s="13"/>
      <c r="I157" s="13"/>
    </row>
    <row r="158" s="15" customFormat="1" ht="26" customHeight="1" spans="1:9">
      <c r="A158" s="18"/>
      <c r="B158" s="18"/>
      <c r="C158" s="27"/>
      <c r="D158" s="13"/>
      <c r="E158" s="13"/>
      <c r="F158" s="13"/>
      <c r="G158" s="26"/>
      <c r="H158" s="13"/>
      <c r="I158" s="13"/>
    </row>
    <row r="159" s="15" customFormat="1" ht="26" customHeight="1" spans="1:9">
      <c r="A159" s="18"/>
      <c r="B159" s="18"/>
      <c r="C159" s="27"/>
      <c r="D159" s="13"/>
      <c r="E159" s="13"/>
      <c r="F159" s="13"/>
      <c r="G159" s="26"/>
      <c r="H159" s="13"/>
      <c r="I159" s="13"/>
    </row>
    <row r="160" s="15" customFormat="1" ht="26" customHeight="1" spans="1:9">
      <c r="A160" s="18"/>
      <c r="B160" s="18"/>
      <c r="C160" s="27"/>
      <c r="D160" s="13"/>
      <c r="E160" s="13"/>
      <c r="F160" s="13"/>
      <c r="G160" s="26"/>
      <c r="H160" s="13"/>
      <c r="I160" s="13"/>
    </row>
    <row r="161" s="15" customFormat="1" ht="26" customHeight="1" spans="1:9">
      <c r="A161" s="18"/>
      <c r="B161" s="18"/>
      <c r="C161" s="27"/>
      <c r="D161" s="13"/>
      <c r="E161" s="13"/>
      <c r="F161" s="13"/>
      <c r="G161" s="26"/>
      <c r="H161" s="13"/>
      <c r="I161" s="13"/>
    </row>
    <row r="162" s="15" customFormat="1" ht="26" customHeight="1" spans="1:9">
      <c r="A162" s="18"/>
      <c r="B162" s="18"/>
      <c r="C162" s="27"/>
      <c r="D162" s="13"/>
      <c r="E162" s="13"/>
      <c r="F162" s="13"/>
      <c r="G162" s="26"/>
      <c r="H162" s="13"/>
      <c r="I162" s="13"/>
    </row>
    <row r="163" s="15" customFormat="1" ht="26" customHeight="1" spans="1:9">
      <c r="A163" s="18"/>
      <c r="B163" s="18"/>
      <c r="C163" s="27"/>
      <c r="D163" s="13"/>
      <c r="E163" s="13"/>
      <c r="F163" s="13"/>
      <c r="G163" s="26"/>
      <c r="H163" s="13"/>
      <c r="I163" s="13"/>
    </row>
    <row r="164" s="15" customFormat="1" ht="26" customHeight="1" spans="1:9">
      <c r="A164" s="18"/>
      <c r="B164" s="18"/>
      <c r="C164" s="27"/>
      <c r="D164" s="18"/>
      <c r="E164" s="18"/>
      <c r="F164" s="18"/>
      <c r="G164" s="18"/>
      <c r="H164" s="13"/>
      <c r="I164" s="18"/>
    </row>
    <row r="165" s="15" customFormat="1" ht="26" customHeight="1" spans="1:9">
      <c r="A165" s="18"/>
      <c r="B165" s="18"/>
      <c r="C165" s="27"/>
      <c r="D165" s="13"/>
      <c r="E165" s="13"/>
      <c r="F165" s="13"/>
      <c r="G165" s="26"/>
      <c r="H165" s="13"/>
      <c r="I165" s="13"/>
    </row>
    <row r="166" s="15" customFormat="1" ht="26" customHeight="1" spans="1:9">
      <c r="A166" s="18"/>
      <c r="B166" s="18"/>
      <c r="C166" s="27"/>
      <c r="D166" s="13"/>
      <c r="E166" s="13"/>
      <c r="F166" s="13"/>
      <c r="G166" s="26"/>
      <c r="H166" s="13"/>
      <c r="I166" s="13"/>
    </row>
    <row r="167" s="15" customFormat="1" ht="26" customHeight="1" spans="1:9">
      <c r="A167" s="18"/>
      <c r="B167" s="18"/>
      <c r="C167" s="27"/>
      <c r="D167" s="13"/>
      <c r="E167" s="13"/>
      <c r="F167" s="13"/>
      <c r="G167" s="26"/>
      <c r="H167" s="13"/>
      <c r="I167" s="13"/>
    </row>
    <row r="168" s="15" customFormat="1" ht="26" customHeight="1" spans="1:9">
      <c r="A168" s="18"/>
      <c r="B168" s="13"/>
      <c r="C168" s="13"/>
      <c r="D168" s="13"/>
      <c r="E168" s="18"/>
      <c r="F168" s="18"/>
      <c r="G168" s="18"/>
      <c r="H168" s="13"/>
      <c r="I168" s="18"/>
    </row>
    <row r="169" s="15" customFormat="1" ht="26" customHeight="1" spans="1:9">
      <c r="A169" s="18"/>
      <c r="B169" s="13"/>
      <c r="C169" s="27"/>
      <c r="D169" s="13"/>
      <c r="E169" s="13"/>
      <c r="F169" s="13"/>
      <c r="G169" s="26"/>
      <c r="H169" s="13"/>
      <c r="I169" s="13"/>
    </row>
    <row r="170" s="15" customFormat="1" ht="26" customHeight="1" spans="1:9">
      <c r="A170" s="18"/>
      <c r="B170" s="13"/>
      <c r="C170" s="27"/>
      <c r="D170" s="13"/>
      <c r="E170" s="13"/>
      <c r="F170" s="13"/>
      <c r="G170" s="26"/>
      <c r="H170" s="13"/>
      <c r="I170" s="13"/>
    </row>
    <row r="171" s="15" customFormat="1" ht="26" customHeight="1" spans="1:9">
      <c r="A171" s="18"/>
      <c r="B171" s="13"/>
      <c r="C171" s="27"/>
      <c r="D171" s="13"/>
      <c r="E171" s="13"/>
      <c r="F171" s="13"/>
      <c r="G171" s="26"/>
      <c r="H171" s="13"/>
      <c r="I171" s="13"/>
    </row>
    <row r="172" s="15" customFormat="1" ht="26" customHeight="1" spans="1:9">
      <c r="A172" s="18"/>
      <c r="B172" s="13"/>
      <c r="C172" s="27"/>
      <c r="D172" s="13"/>
      <c r="E172" s="13"/>
      <c r="F172" s="13"/>
      <c r="G172" s="26"/>
      <c r="H172" s="13"/>
      <c r="I172" s="13"/>
    </row>
    <row r="173" s="15" customFormat="1" ht="26" customHeight="1" spans="1:9">
      <c r="A173" s="18"/>
      <c r="B173" s="13"/>
      <c r="C173" s="27"/>
      <c r="D173" s="13"/>
      <c r="E173" s="13"/>
      <c r="F173" s="13"/>
      <c r="G173" s="26"/>
      <c r="H173" s="13"/>
      <c r="I173" s="13"/>
    </row>
    <row r="174" s="15" customFormat="1" ht="26" customHeight="1" spans="1:9">
      <c r="A174" s="18"/>
      <c r="B174" s="13"/>
      <c r="C174" s="27"/>
      <c r="D174" s="13"/>
      <c r="E174" s="13"/>
      <c r="F174" s="13"/>
      <c r="G174" s="26"/>
      <c r="H174" s="13"/>
      <c r="I174" s="13"/>
    </row>
    <row r="175" s="15" customFormat="1" ht="26" customHeight="1" spans="1:9">
      <c r="A175" s="18"/>
      <c r="B175" s="13"/>
      <c r="C175" s="27"/>
      <c r="D175" s="13"/>
      <c r="E175" s="13"/>
      <c r="F175" s="13"/>
      <c r="G175" s="26"/>
      <c r="H175" s="13"/>
      <c r="I175" s="13"/>
    </row>
    <row r="176" s="15" customFormat="1" ht="26" customHeight="1" spans="1:9">
      <c r="A176" s="18"/>
      <c r="B176" s="13"/>
      <c r="C176" s="27"/>
      <c r="D176" s="13"/>
      <c r="E176" s="13"/>
      <c r="F176" s="13"/>
      <c r="G176" s="26"/>
      <c r="H176" s="13"/>
      <c r="I176" s="13"/>
    </row>
    <row r="177" s="15" customFormat="1" ht="26" customHeight="1" spans="1:9">
      <c r="A177" s="18"/>
      <c r="B177" s="13"/>
      <c r="C177" s="27"/>
      <c r="D177" s="13"/>
      <c r="E177" s="13"/>
      <c r="F177" s="13"/>
      <c r="G177" s="26"/>
      <c r="H177" s="13"/>
      <c r="I177" s="13"/>
    </row>
    <row r="178" s="15" customFormat="1" ht="26" customHeight="1" spans="1:9">
      <c r="A178" s="18"/>
      <c r="B178" s="13"/>
      <c r="C178" s="13"/>
      <c r="D178" s="13"/>
      <c r="E178" s="13"/>
      <c r="F178" s="13"/>
      <c r="G178" s="13"/>
      <c r="H178" s="13"/>
      <c r="I178" s="13"/>
    </row>
    <row r="179" s="15" customFormat="1" ht="26" customHeight="1" spans="1:9">
      <c r="A179" s="18"/>
      <c r="B179" s="13"/>
      <c r="C179" s="27"/>
      <c r="D179" s="13"/>
      <c r="E179" s="13"/>
      <c r="F179" s="13"/>
      <c r="G179" s="13"/>
      <c r="H179" s="13"/>
      <c r="I179" s="13"/>
    </row>
    <row r="180" s="15" customFormat="1" ht="26" customHeight="1" spans="1:9">
      <c r="A180" s="18"/>
      <c r="B180" s="13"/>
      <c r="C180" s="27"/>
      <c r="D180" s="13"/>
      <c r="E180" s="13"/>
      <c r="F180" s="13"/>
      <c r="G180" s="26"/>
      <c r="H180" s="13"/>
      <c r="I180" s="13"/>
    </row>
    <row r="181" s="15" customFormat="1" ht="26" customHeight="1" spans="1:9">
      <c r="A181" s="18"/>
      <c r="B181" s="13"/>
      <c r="C181" s="27"/>
      <c r="D181" s="13"/>
      <c r="E181" s="13"/>
      <c r="F181" s="13"/>
      <c r="G181" s="26"/>
      <c r="H181" s="13"/>
      <c r="I181" s="13"/>
    </row>
    <row r="182" s="15" customFormat="1" ht="26" customHeight="1" spans="1:9">
      <c r="A182" s="18"/>
      <c r="B182" s="13"/>
      <c r="C182" s="27"/>
      <c r="D182" s="13"/>
      <c r="E182" s="13"/>
      <c r="F182" s="13"/>
      <c r="G182" s="26"/>
      <c r="H182" s="13"/>
      <c r="I182" s="13"/>
    </row>
    <row r="183" s="15" customFormat="1" ht="26" customHeight="1" spans="1:9">
      <c r="A183" s="18"/>
      <c r="B183" s="13"/>
      <c r="C183" s="27"/>
      <c r="D183" s="13"/>
      <c r="E183" s="13"/>
      <c r="F183" s="13"/>
      <c r="G183" s="26"/>
      <c r="H183" s="13"/>
      <c r="I183" s="13"/>
    </row>
    <row r="184" s="15" customFormat="1" ht="26" customHeight="1" spans="1:9">
      <c r="A184" s="18"/>
      <c r="B184" s="13"/>
      <c r="C184" s="27"/>
      <c r="D184" s="13"/>
      <c r="E184" s="13"/>
      <c r="F184" s="13"/>
      <c r="G184" s="13"/>
      <c r="H184" s="13"/>
      <c r="I184" s="13"/>
    </row>
    <row r="185" s="15" customFormat="1" ht="26" customHeight="1" spans="1:9">
      <c r="A185" s="18"/>
      <c r="B185" s="13"/>
      <c r="C185" s="27"/>
      <c r="D185" s="13"/>
      <c r="E185" s="13"/>
      <c r="F185" s="13"/>
      <c r="G185" s="13"/>
      <c r="H185" s="13"/>
      <c r="I185" s="13"/>
    </row>
    <row r="186" s="15" customFormat="1" ht="26" customHeight="1" spans="1:9">
      <c r="A186" s="18"/>
      <c r="B186" s="13"/>
      <c r="C186" s="27"/>
      <c r="D186" s="13"/>
      <c r="E186" s="13"/>
      <c r="F186" s="13"/>
      <c r="G186" s="13"/>
      <c r="H186" s="13"/>
      <c r="I186" s="13"/>
    </row>
    <row r="187" s="15" customFormat="1" ht="26" customHeight="1" spans="1:9">
      <c r="A187" s="18"/>
      <c r="B187" s="13"/>
      <c r="C187" s="27"/>
      <c r="D187" s="13"/>
      <c r="E187" s="13"/>
      <c r="F187" s="13"/>
      <c r="G187" s="13"/>
      <c r="H187" s="13"/>
      <c r="I187" s="13"/>
    </row>
    <row r="188" s="15" customFormat="1" ht="26" customHeight="1" spans="1:9">
      <c r="A188" s="18"/>
      <c r="B188" s="13"/>
      <c r="C188" s="27"/>
      <c r="D188" s="13"/>
      <c r="E188" s="13"/>
      <c r="F188" s="13"/>
      <c r="G188" s="13"/>
      <c r="H188" s="13"/>
      <c r="I188" s="13"/>
    </row>
    <row r="189" s="15" customFormat="1" ht="26" customHeight="1" spans="1:9">
      <c r="A189" s="18"/>
      <c r="B189" s="13"/>
      <c r="C189" s="27"/>
      <c r="D189" s="13"/>
      <c r="E189" s="13"/>
      <c r="F189" s="13"/>
      <c r="G189" s="13"/>
      <c r="H189" s="13"/>
      <c r="I189" s="13"/>
    </row>
    <row r="190" s="15" customFormat="1" ht="26" customHeight="1" spans="1:9">
      <c r="A190" s="18"/>
      <c r="B190" s="13"/>
      <c r="C190" s="27"/>
      <c r="D190" s="13"/>
      <c r="E190" s="13"/>
      <c r="F190" s="13"/>
      <c r="G190" s="13"/>
      <c r="H190" s="13"/>
      <c r="I190" s="13"/>
    </row>
    <row r="191" s="15" customFormat="1" ht="26" customHeight="1" spans="1:9">
      <c r="A191" s="18"/>
      <c r="B191" s="13"/>
      <c r="C191" s="27"/>
      <c r="D191" s="13"/>
      <c r="E191" s="13"/>
      <c r="F191" s="13"/>
      <c r="G191" s="13"/>
      <c r="H191" s="13"/>
      <c r="I191" s="13"/>
    </row>
    <row r="192" s="15" customFormat="1" ht="26" customHeight="1" spans="1:9">
      <c r="A192" s="18"/>
      <c r="B192" s="13"/>
      <c r="C192" s="27"/>
      <c r="D192" s="13"/>
      <c r="E192" s="13"/>
      <c r="F192" s="13"/>
      <c r="G192" s="13"/>
      <c r="H192" s="13"/>
      <c r="I192" s="13"/>
    </row>
    <row r="193" s="15" customFormat="1" ht="26" customHeight="1" spans="1:9">
      <c r="A193" s="18"/>
      <c r="B193" s="13"/>
      <c r="C193" s="27"/>
      <c r="D193" s="13"/>
      <c r="E193" s="13"/>
      <c r="F193" s="13"/>
      <c r="G193" s="13"/>
      <c r="H193" s="13"/>
      <c r="I193" s="13"/>
    </row>
    <row r="194" s="15" customFormat="1" ht="26" customHeight="1" spans="1:9">
      <c r="A194" s="18"/>
      <c r="B194" s="13"/>
      <c r="C194" s="27"/>
      <c r="D194" s="13"/>
      <c r="E194" s="13"/>
      <c r="F194" s="13"/>
      <c r="G194" s="13"/>
      <c r="H194" s="13"/>
      <c r="I194" s="13"/>
    </row>
    <row r="195" s="15" customFormat="1" ht="26" customHeight="1" spans="1:9">
      <c r="A195" s="18"/>
      <c r="B195" s="13"/>
      <c r="C195" s="27"/>
      <c r="D195" s="13"/>
      <c r="E195" s="13"/>
      <c r="F195" s="13"/>
      <c r="G195" s="13"/>
      <c r="H195" s="13"/>
      <c r="I195" s="13"/>
    </row>
    <row r="196" s="15" customFormat="1" ht="26" customHeight="1" spans="1:9">
      <c r="A196" s="18"/>
      <c r="B196" s="13"/>
      <c r="C196" s="27"/>
      <c r="D196" s="13"/>
      <c r="E196" s="13"/>
      <c r="F196" s="13"/>
      <c r="G196" s="13"/>
      <c r="H196" s="13"/>
      <c r="I196" s="13"/>
    </row>
    <row r="197" s="15" customFormat="1" ht="26" customHeight="1" spans="1:9">
      <c r="A197" s="18"/>
      <c r="B197" s="13"/>
      <c r="C197" s="27"/>
      <c r="D197" s="13"/>
      <c r="E197" s="13"/>
      <c r="F197" s="13"/>
      <c r="G197" s="13"/>
      <c r="H197" s="13"/>
      <c r="I197" s="13"/>
    </row>
    <row r="198" s="15" customFormat="1" ht="26" customHeight="1" spans="1:9">
      <c r="A198" s="18"/>
      <c r="B198" s="13"/>
      <c r="C198" s="27"/>
      <c r="D198" s="13"/>
      <c r="E198" s="13"/>
      <c r="F198" s="13"/>
      <c r="G198" s="13"/>
      <c r="H198" s="13"/>
      <c r="I198" s="13"/>
    </row>
    <row r="199" s="15" customFormat="1" ht="26" customHeight="1" spans="1:9">
      <c r="A199" s="18"/>
      <c r="B199" s="13"/>
      <c r="C199" s="27"/>
      <c r="D199" s="13"/>
      <c r="E199" s="13"/>
      <c r="F199" s="13"/>
      <c r="G199" s="13"/>
      <c r="H199" s="13"/>
      <c r="I199" s="13"/>
    </row>
    <row r="200" s="15" customFormat="1" ht="26" customHeight="1" spans="1:9">
      <c r="A200" s="13"/>
      <c r="B200" s="13"/>
      <c r="C200" s="27"/>
      <c r="D200" s="13"/>
      <c r="E200" s="13"/>
      <c r="F200" s="13"/>
      <c r="G200" s="13"/>
      <c r="H200" s="13"/>
      <c r="I200" s="13"/>
    </row>
    <row r="201" s="15" customFormat="1" ht="26" customHeight="1" spans="1:9">
      <c r="A201" s="13"/>
      <c r="B201" s="13"/>
      <c r="C201" s="27"/>
      <c r="D201" s="13"/>
      <c r="E201" s="13"/>
      <c r="F201" s="13"/>
      <c r="G201" s="13"/>
      <c r="H201" s="13"/>
      <c r="I201" s="13"/>
    </row>
    <row r="202" s="15" customFormat="1" ht="26" customHeight="1" spans="1:9">
      <c r="A202" s="16"/>
      <c r="B202" s="16"/>
      <c r="C202" s="16"/>
      <c r="D202" s="16"/>
      <c r="E202" s="16"/>
      <c r="F202" s="16"/>
      <c r="G202" s="16"/>
      <c r="H202" s="16"/>
      <c r="I202" s="16"/>
    </row>
    <row r="203" s="15" customFormat="1" ht="26" customHeight="1" spans="1:9">
      <c r="A203" s="16"/>
      <c r="B203" s="16"/>
      <c r="C203" s="16"/>
      <c r="D203" s="16"/>
      <c r="E203" s="16"/>
      <c r="F203" s="16"/>
      <c r="G203" s="16"/>
      <c r="H203" s="16"/>
      <c r="I203" s="16"/>
    </row>
    <row r="204" s="15" customFormat="1" ht="26" customHeight="1" spans="1:9">
      <c r="A204" s="16"/>
      <c r="B204" s="16"/>
      <c r="C204" s="16"/>
      <c r="D204" s="16"/>
      <c r="E204" s="16"/>
      <c r="F204" s="16"/>
      <c r="G204" s="16"/>
      <c r="H204" s="16"/>
      <c r="I204" s="16"/>
    </row>
    <row r="205" s="15" customFormat="1" ht="26" customHeight="1" spans="1:9">
      <c r="A205" s="16"/>
      <c r="B205" s="16"/>
      <c r="C205" s="16"/>
      <c r="D205" s="16"/>
      <c r="E205" s="16"/>
      <c r="F205" s="16"/>
      <c r="G205" s="16"/>
      <c r="H205" s="16"/>
      <c r="I205" s="16"/>
    </row>
    <row r="206" s="15" customFormat="1" ht="26" customHeight="1" spans="1:9">
      <c r="A206" s="16"/>
      <c r="B206" s="16"/>
      <c r="C206" s="16"/>
      <c r="D206" s="16"/>
      <c r="E206" s="16"/>
      <c r="F206" s="16"/>
      <c r="G206" s="16"/>
      <c r="H206" s="16"/>
      <c r="I206" s="16"/>
    </row>
    <row r="207" s="15" customFormat="1" ht="26" customHeight="1" spans="1:9">
      <c r="A207" s="16"/>
      <c r="B207" s="16"/>
      <c r="C207" s="16"/>
      <c r="D207" s="16"/>
      <c r="E207" s="16"/>
      <c r="F207" s="16"/>
      <c r="G207" s="16"/>
      <c r="H207" s="16"/>
      <c r="I207" s="16"/>
    </row>
    <row r="208" s="15" customFormat="1" ht="26" customHeight="1" spans="1:9">
      <c r="A208" s="16"/>
      <c r="B208" s="16"/>
      <c r="C208" s="16"/>
      <c r="D208" s="16"/>
      <c r="E208" s="16"/>
      <c r="F208" s="16"/>
      <c r="G208" s="16"/>
      <c r="H208" s="16"/>
      <c r="I208" s="16"/>
    </row>
    <row r="209" s="15" customFormat="1" ht="26" customHeight="1" spans="1:9">
      <c r="A209" s="16"/>
      <c r="B209" s="16"/>
      <c r="C209" s="16"/>
      <c r="D209" s="16"/>
      <c r="E209" s="16"/>
      <c r="F209" s="16"/>
      <c r="G209" s="16"/>
      <c r="H209" s="16"/>
      <c r="I209" s="16"/>
    </row>
    <row r="210" s="15" customFormat="1" ht="26" customHeight="1" spans="1:9">
      <c r="A210" s="16"/>
      <c r="B210" s="16"/>
      <c r="C210" s="16"/>
      <c r="D210" s="16"/>
      <c r="E210" s="16"/>
      <c r="F210" s="16"/>
      <c r="G210" s="16"/>
      <c r="H210" s="16"/>
      <c r="I210" s="16"/>
    </row>
    <row r="211" ht="26" customHeight="1"/>
    <row r="212" ht="26" customHeight="1"/>
    <row r="213" ht="26" customHeight="1"/>
  </sheetData>
  <dataValidations count="1">
    <dataValidation type="list" allowBlank="1" showInputMessage="1" showErrorMessage="1" sqref="D168 D2:D16">
      <formula1>"月卡,季卡,半年卡,年卡,双年卡,三年卡,亲子卡,家庭卡,学期卡,学年卡,双学年卡,三学年卡,游泳培训1V1,游泳培训1V2,游泳培训1V3,游泳培训班,次卡,常规课,特色课,长训班,包月课"</formula1>
    </dataValidation>
  </dataValidation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F30" sqref="F30"/>
    </sheetView>
  </sheetViews>
  <sheetFormatPr defaultColWidth="9" defaultRowHeight="20" customHeight="1"/>
  <cols>
    <col min="1" max="1" width="28.125" style="2" customWidth="1"/>
    <col min="2" max="4" width="12.625" style="2" customWidth="1"/>
    <col min="5" max="10" width="15.625" style="2" customWidth="1"/>
  </cols>
  <sheetData>
    <row r="1" ht="30" customHeight="1" spans="1:10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</row>
    <row r="2" customHeight="1" spans="1:10">
      <c r="A2" s="4" t="s">
        <v>422</v>
      </c>
      <c r="B2" s="4" t="s">
        <v>423</v>
      </c>
      <c r="C2" s="4" t="s">
        <v>424</v>
      </c>
      <c r="D2" s="4" t="s">
        <v>425</v>
      </c>
      <c r="E2" s="5" t="s">
        <v>426</v>
      </c>
      <c r="F2" s="5" t="s">
        <v>427</v>
      </c>
      <c r="G2" s="5" t="s">
        <v>428</v>
      </c>
      <c r="H2" s="5" t="s">
        <v>429</v>
      </c>
      <c r="I2" s="5"/>
      <c r="J2" s="5"/>
    </row>
    <row r="3" customHeight="1" spans="1:10">
      <c r="A3" s="4"/>
      <c r="B3" s="4"/>
      <c r="C3" s="4"/>
      <c r="D3" s="4"/>
      <c r="E3" s="4" t="s">
        <v>430</v>
      </c>
      <c r="F3" s="4" t="s">
        <v>430</v>
      </c>
      <c r="G3" s="4" t="s">
        <v>430</v>
      </c>
      <c r="H3" s="4" t="s">
        <v>430</v>
      </c>
      <c r="I3" s="4" t="s">
        <v>430</v>
      </c>
      <c r="J3" s="4" t="s">
        <v>430</v>
      </c>
    </row>
    <row r="4" customHeight="1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customHeight="1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customHeight="1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customHeight="1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customHeight="1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customHeight="1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customHeight="1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Height="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Height="1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Height="1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Height="1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Height="1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Height="1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customHeight="1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Height="1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customHeight="1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Height="1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customHeight="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Height="1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customHeight="1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Height="1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Height="1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Height="1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Height="1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Height="1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customHeight="1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Height="1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customHeight="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</sheetData>
  <mergeCells count="5">
    <mergeCell ref="A1:J1"/>
    <mergeCell ref="A2:A3"/>
    <mergeCell ref="B2:B3"/>
    <mergeCell ref="C2:C3"/>
    <mergeCell ref="D2:D3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opLeftCell="A82" workbookViewId="0">
      <selection activeCell="D99" sqref="D99"/>
    </sheetView>
  </sheetViews>
  <sheetFormatPr defaultColWidth="9" defaultRowHeight="16.8" outlineLevelCol="4"/>
  <cols>
    <col min="1" max="1" width="10.375" style="7"/>
    <col min="2" max="2" width="9" style="7"/>
    <col min="3" max="3" width="11.125" style="7" customWidth="1"/>
    <col min="4" max="4" width="9.375" style="7"/>
    <col min="5" max="16384" width="9" style="7"/>
  </cols>
  <sheetData>
    <row r="1" ht="32" customHeight="1" spans="1:5">
      <c r="A1" s="8" t="s">
        <v>42</v>
      </c>
      <c r="B1" s="8" t="s">
        <v>431</v>
      </c>
      <c r="C1" s="8" t="s">
        <v>432</v>
      </c>
      <c r="D1" s="8" t="s">
        <v>433</v>
      </c>
    </row>
    <row r="2" ht="19" hidden="1" customHeight="1" spans="1:5">
      <c r="A2" s="9">
        <v>3.31</v>
      </c>
      <c r="B2" s="9">
        <v>6000</v>
      </c>
      <c r="C2" s="9"/>
      <c r="D2" s="9"/>
    </row>
    <row r="3" ht="19" hidden="1" customHeight="1" spans="1:5">
      <c r="A3" s="9">
        <v>3.29</v>
      </c>
      <c r="B3" s="9"/>
      <c r="C3" s="9">
        <v>1000</v>
      </c>
      <c r="D3" s="9">
        <v>500</v>
      </c>
    </row>
    <row r="4" ht="19" hidden="1" customHeight="1" spans="1:5">
      <c r="A4" s="9">
        <v>4.2</v>
      </c>
      <c r="B4" s="9"/>
      <c r="C4" s="9">
        <v>1000</v>
      </c>
      <c r="D4" s="9"/>
    </row>
    <row r="5" ht="19" hidden="1" customHeight="1" spans="1:5">
      <c r="A5" s="9">
        <v>4.7</v>
      </c>
      <c r="B5" s="9"/>
      <c r="C5" s="9"/>
      <c r="D5" s="9">
        <v>500</v>
      </c>
    </row>
    <row r="6" ht="19" hidden="1" customHeight="1" spans="1:5">
      <c r="A6" s="9">
        <v>4.1</v>
      </c>
      <c r="B6" s="9"/>
      <c r="C6" s="9">
        <v>1000</v>
      </c>
      <c r="D6" s="9"/>
    </row>
    <row r="7" ht="19" hidden="1" customHeight="1" spans="1:5">
      <c r="A7" s="9">
        <v>4.11</v>
      </c>
      <c r="B7" s="9"/>
      <c r="C7" s="9"/>
      <c r="D7" s="9">
        <v>500</v>
      </c>
    </row>
    <row r="8" ht="19" hidden="1" customHeight="1" spans="1:5">
      <c r="A8" s="9">
        <v>4.17</v>
      </c>
      <c r="B8" s="9"/>
      <c r="C8" s="9">
        <v>1000</v>
      </c>
      <c r="D8" s="9">
        <v>500</v>
      </c>
    </row>
    <row r="9" ht="19" hidden="1" customHeight="1" spans="1:5">
      <c r="A9" s="10">
        <v>4.2</v>
      </c>
      <c r="B9" s="9"/>
      <c r="C9" s="9"/>
      <c r="D9" s="9">
        <v>500</v>
      </c>
      <c r="E9" s="7" t="s">
        <v>434</v>
      </c>
    </row>
    <row r="10" ht="18" hidden="1" customHeight="1" spans="1:5">
      <c r="A10" s="9">
        <v>4.22</v>
      </c>
      <c r="B10" s="11">
        <v>6000</v>
      </c>
      <c r="C10" s="11"/>
      <c r="D10" s="11"/>
    </row>
    <row r="11" ht="19" hidden="1" customHeight="1" spans="1:5">
      <c r="A11" s="9">
        <v>4.23</v>
      </c>
      <c r="B11" s="9"/>
      <c r="C11" s="9"/>
      <c r="D11" s="9">
        <v>500</v>
      </c>
    </row>
    <row r="12" ht="19" hidden="1" customHeight="1" spans="1:5">
      <c r="A12" s="9">
        <v>4.27</v>
      </c>
      <c r="B12" s="9"/>
      <c r="C12" s="9">
        <v>500</v>
      </c>
      <c r="D12" s="9">
        <v>500</v>
      </c>
    </row>
    <row r="13" ht="19" hidden="1" customHeight="1" spans="1:5">
      <c r="A13" s="9">
        <v>5.3</v>
      </c>
      <c r="B13" s="9"/>
      <c r="C13" s="9">
        <v>500</v>
      </c>
      <c r="D13" s="9">
        <v>500</v>
      </c>
    </row>
    <row r="14" ht="19" hidden="1" customHeight="1" spans="1:5">
      <c r="A14" s="9">
        <v>5.6</v>
      </c>
      <c r="B14" s="9"/>
      <c r="C14" s="9"/>
      <c r="D14" s="9">
        <v>500</v>
      </c>
    </row>
    <row r="15" ht="19" hidden="1" customHeight="1" spans="1:5">
      <c r="A15" s="9">
        <v>5.9</v>
      </c>
      <c r="B15" s="9"/>
      <c r="C15" s="9">
        <v>500</v>
      </c>
      <c r="D15" s="9">
        <v>500</v>
      </c>
    </row>
    <row r="16" ht="19" hidden="1" customHeight="1" spans="1:5">
      <c r="A16" s="9">
        <v>5.13</v>
      </c>
      <c r="B16" s="9"/>
      <c r="C16" s="9">
        <v>500</v>
      </c>
      <c r="D16" s="9">
        <v>500</v>
      </c>
    </row>
    <row r="17" ht="19" hidden="1" customHeight="1" spans="1:5">
      <c r="A17" s="9">
        <v>5.16</v>
      </c>
      <c r="B17" s="9"/>
      <c r="C17" s="9">
        <v>400</v>
      </c>
      <c r="D17" s="9">
        <v>600</v>
      </c>
      <c r="E17" s="7" t="s">
        <v>434</v>
      </c>
    </row>
    <row r="18" s="7" customFormat="1" ht="19" hidden="1" customHeight="1" spans="1:5">
      <c r="A18" s="9">
        <v>5.19</v>
      </c>
      <c r="B18" s="11">
        <v>6000</v>
      </c>
      <c r="C18" s="11"/>
      <c r="D18" s="11">
        <v>200</v>
      </c>
    </row>
    <row r="19" s="7" customFormat="1" ht="19" hidden="1" customHeight="1" spans="1:5">
      <c r="A19" s="10">
        <v>5.2</v>
      </c>
      <c r="B19" s="9"/>
      <c r="C19" s="9">
        <v>200</v>
      </c>
      <c r="D19" s="9">
        <v>800</v>
      </c>
    </row>
    <row r="20" ht="19" hidden="1" customHeight="1" spans="1:5">
      <c r="A20" s="9">
        <v>5.23</v>
      </c>
      <c r="B20" s="9"/>
      <c r="C20" s="9">
        <v>500</v>
      </c>
      <c r="D20" s="9">
        <v>500</v>
      </c>
    </row>
    <row r="21" ht="19" hidden="1" customHeight="1" spans="1:5">
      <c r="A21" s="9">
        <v>5.28</v>
      </c>
      <c r="B21" s="9"/>
      <c r="C21" s="9">
        <v>500</v>
      </c>
      <c r="D21" s="9">
        <v>500</v>
      </c>
    </row>
    <row r="22" ht="19" hidden="1" customHeight="1" spans="1:5">
      <c r="A22" s="9">
        <v>5.31</v>
      </c>
      <c r="B22" s="9"/>
      <c r="C22" s="9">
        <v>300</v>
      </c>
      <c r="D22" s="9">
        <v>700</v>
      </c>
    </row>
    <row r="23" ht="19" hidden="1" customHeight="1" spans="1:5">
      <c r="A23" s="9">
        <v>6.5</v>
      </c>
      <c r="B23" s="9"/>
      <c r="C23" s="9">
        <v>300</v>
      </c>
      <c r="D23" s="9">
        <v>700</v>
      </c>
    </row>
    <row r="24" ht="19" hidden="1" customHeight="1" spans="1:5">
      <c r="A24" s="9">
        <v>6.7</v>
      </c>
      <c r="B24" s="9"/>
      <c r="C24" s="9"/>
      <c r="D24" s="9">
        <v>1000</v>
      </c>
    </row>
    <row r="25" ht="19" hidden="1" customHeight="1" spans="1:5">
      <c r="A25" s="9">
        <v>6.8</v>
      </c>
      <c r="B25" s="9"/>
      <c r="C25" s="9">
        <v>500</v>
      </c>
      <c r="D25" s="9"/>
      <c r="E25" s="7">
        <v>-700</v>
      </c>
    </row>
    <row r="26" ht="19" hidden="1" customHeight="1" spans="1:5">
      <c r="A26" s="10">
        <v>6.1</v>
      </c>
      <c r="B26" s="11">
        <v>6000</v>
      </c>
      <c r="C26" s="11"/>
      <c r="D26" s="11"/>
    </row>
    <row r="27" ht="19" hidden="1" customHeight="1" spans="1:5">
      <c r="A27" s="10">
        <v>6.11</v>
      </c>
      <c r="B27" s="9"/>
      <c r="C27" s="9">
        <v>1000</v>
      </c>
      <c r="D27" s="9">
        <v>1000</v>
      </c>
    </row>
    <row r="28" ht="19" hidden="1" customHeight="1" spans="1:5">
      <c r="A28" s="10">
        <v>6.16</v>
      </c>
      <c r="B28" s="9"/>
      <c r="C28" s="9"/>
      <c r="D28" s="9">
        <v>1000</v>
      </c>
    </row>
    <row r="29" ht="19" hidden="1" customHeight="1" spans="1:5">
      <c r="A29" s="10">
        <v>6.2</v>
      </c>
      <c r="B29" s="9"/>
      <c r="C29" s="9"/>
      <c r="D29" s="9">
        <v>500</v>
      </c>
    </row>
    <row r="30" ht="19" hidden="1" customHeight="1" spans="1:5">
      <c r="A30" s="10">
        <v>6.22</v>
      </c>
      <c r="B30" s="11"/>
      <c r="C30" s="11">
        <v>800</v>
      </c>
      <c r="D30" s="11">
        <v>1000</v>
      </c>
      <c r="E30" s="7" t="s">
        <v>434</v>
      </c>
    </row>
    <row r="31" ht="19" hidden="1" customHeight="1" spans="1:5">
      <c r="A31" s="10">
        <v>6.27</v>
      </c>
      <c r="B31" s="11">
        <v>6000</v>
      </c>
      <c r="C31" s="9">
        <v>500</v>
      </c>
      <c r="D31" s="9">
        <v>1500</v>
      </c>
    </row>
    <row r="32" ht="19" hidden="1" customHeight="1" spans="1:5">
      <c r="A32" s="9">
        <v>7.2</v>
      </c>
      <c r="B32" s="9"/>
      <c r="C32" s="9">
        <v>1000</v>
      </c>
      <c r="D32" s="9">
        <v>1000</v>
      </c>
    </row>
    <row r="33" ht="19" hidden="1" customHeight="1" spans="1:5">
      <c r="A33" s="9">
        <v>7.5</v>
      </c>
      <c r="B33" s="11"/>
      <c r="C33" s="11">
        <v>300</v>
      </c>
      <c r="D33" s="11">
        <v>1700</v>
      </c>
      <c r="E33" s="7" t="s">
        <v>434</v>
      </c>
    </row>
    <row r="34" ht="19" hidden="1" customHeight="1" spans="1:5">
      <c r="A34" s="9">
        <v>7.9</v>
      </c>
      <c r="B34" s="11">
        <v>6000</v>
      </c>
      <c r="C34" s="9"/>
      <c r="D34" s="9"/>
    </row>
    <row r="35" ht="19" hidden="1" customHeight="1" spans="1:5">
      <c r="A35" s="9">
        <v>7.9</v>
      </c>
      <c r="B35" s="9"/>
      <c r="C35" s="9">
        <v>500</v>
      </c>
      <c r="D35" s="9">
        <v>1500</v>
      </c>
    </row>
    <row r="36" ht="19" hidden="1" customHeight="1" spans="1:5">
      <c r="A36" s="9">
        <v>7.12</v>
      </c>
      <c r="B36" s="9"/>
      <c r="C36" s="9">
        <v>1000</v>
      </c>
      <c r="D36" s="9">
        <v>1000</v>
      </c>
    </row>
    <row r="37" ht="19" hidden="1" customHeight="1" spans="1:5">
      <c r="A37" s="9">
        <v>7.14</v>
      </c>
      <c r="B37" s="9"/>
      <c r="C37" s="9">
        <v>500</v>
      </c>
      <c r="D37" s="9">
        <v>1500</v>
      </c>
      <c r="E37" s="7" t="s">
        <v>434</v>
      </c>
    </row>
    <row r="38" ht="19" hidden="1" customHeight="1" spans="1:5">
      <c r="A38" s="9">
        <v>7.15</v>
      </c>
      <c r="B38" s="9"/>
      <c r="C38" s="9">
        <v>500</v>
      </c>
      <c r="D38" s="9">
        <v>1500</v>
      </c>
      <c r="E38" s="7">
        <v>-2000</v>
      </c>
    </row>
    <row r="39" ht="19" hidden="1" customHeight="1" spans="1:5">
      <c r="A39" s="9">
        <v>7.17</v>
      </c>
      <c r="B39" s="11">
        <v>6000</v>
      </c>
      <c r="C39" s="11"/>
      <c r="D39" s="11"/>
    </row>
    <row r="40" ht="19" hidden="1" customHeight="1" spans="1:5">
      <c r="A40" s="10">
        <v>7.21</v>
      </c>
      <c r="B40" s="9"/>
      <c r="C40" s="9">
        <v>500</v>
      </c>
      <c r="D40" s="9">
        <v>1500</v>
      </c>
    </row>
    <row r="41" ht="19" hidden="1" customHeight="1" spans="1:5">
      <c r="A41" s="10">
        <v>7.27</v>
      </c>
      <c r="B41" s="9"/>
      <c r="C41" s="9">
        <v>500</v>
      </c>
      <c r="D41" s="9">
        <v>500</v>
      </c>
    </row>
    <row r="42" ht="19" hidden="1" customHeight="1" spans="1:5">
      <c r="A42" s="9">
        <v>7.28</v>
      </c>
      <c r="B42" s="11">
        <v>6000</v>
      </c>
      <c r="C42" s="11"/>
      <c r="D42" s="11">
        <v>1000</v>
      </c>
      <c r="E42" s="7" t="s">
        <v>434</v>
      </c>
    </row>
    <row r="43" ht="19" hidden="1" customHeight="1" spans="1:5">
      <c r="A43" s="9">
        <v>7.29</v>
      </c>
      <c r="B43" s="9"/>
      <c r="C43" s="9">
        <v>1000</v>
      </c>
      <c r="D43" s="9"/>
    </row>
    <row r="44" ht="19" hidden="1" customHeight="1" spans="1:5">
      <c r="A44" s="10">
        <v>7.3</v>
      </c>
      <c r="B44" s="9"/>
      <c r="C44" s="9">
        <v>500</v>
      </c>
      <c r="D44" s="9">
        <v>1500</v>
      </c>
    </row>
    <row r="45" ht="19" hidden="1" customHeight="1" spans="1:5">
      <c r="A45" s="9">
        <v>8.2</v>
      </c>
      <c r="B45" s="11"/>
      <c r="C45" s="11">
        <v>500</v>
      </c>
      <c r="D45" s="11">
        <v>1500</v>
      </c>
      <c r="E45" s="7" t="s">
        <v>434</v>
      </c>
    </row>
    <row r="46" ht="19" hidden="1" customHeight="1" spans="1:5">
      <c r="A46" s="9">
        <v>8.5</v>
      </c>
      <c r="B46" s="11">
        <v>6000</v>
      </c>
      <c r="C46" s="11">
        <v>500</v>
      </c>
      <c r="D46" s="11">
        <v>1500</v>
      </c>
    </row>
    <row r="47" ht="19" hidden="1" customHeight="1" spans="1:5">
      <c r="A47" s="9">
        <v>12.8</v>
      </c>
      <c r="B47" s="11">
        <v>6000</v>
      </c>
      <c r="C47" s="11">
        <v>1000</v>
      </c>
      <c r="D47" s="11"/>
    </row>
    <row r="48" ht="19" hidden="1" customHeight="1" spans="1:5">
      <c r="A48" s="9">
        <v>12.14</v>
      </c>
      <c r="B48" s="9"/>
      <c r="C48" s="9">
        <v>500</v>
      </c>
      <c r="D48" s="9">
        <v>500</v>
      </c>
    </row>
    <row r="49" ht="19" hidden="1" customHeight="1" spans="1:5">
      <c r="A49" s="9">
        <v>12.18</v>
      </c>
      <c r="B49" s="9"/>
      <c r="C49" s="9">
        <v>1500</v>
      </c>
      <c r="D49" s="9">
        <v>500</v>
      </c>
    </row>
    <row r="50" ht="19" hidden="1" customHeight="1" spans="1:5">
      <c r="A50" s="9">
        <v>12.27</v>
      </c>
      <c r="B50" s="9"/>
      <c r="C50" s="9">
        <v>500</v>
      </c>
      <c r="D50" s="9">
        <v>500</v>
      </c>
    </row>
    <row r="51" ht="19" hidden="1" customHeight="1" spans="1:5">
      <c r="A51" s="9">
        <v>12.31</v>
      </c>
      <c r="B51" s="11"/>
      <c r="C51" s="11">
        <v>500</v>
      </c>
      <c r="D51" s="11">
        <v>500</v>
      </c>
      <c r="E51" s="7" t="s">
        <v>434</v>
      </c>
    </row>
    <row r="52" ht="19" hidden="1" customHeight="1" spans="1:5">
      <c r="A52" s="9">
        <v>12.31</v>
      </c>
      <c r="B52" s="11">
        <v>6000</v>
      </c>
      <c r="C52" s="9"/>
      <c r="D52" s="9"/>
    </row>
    <row r="53" ht="19" hidden="1" customHeight="1" spans="1:5">
      <c r="A53" s="10" t="s">
        <v>435</v>
      </c>
      <c r="B53" s="9"/>
      <c r="C53" s="9">
        <v>1000</v>
      </c>
      <c r="D53" s="9"/>
    </row>
    <row r="54" ht="19" hidden="1" customHeight="1" spans="1:5">
      <c r="A54" s="9">
        <v>1.5</v>
      </c>
      <c r="B54" s="9"/>
      <c r="C54" s="9"/>
      <c r="D54" s="9">
        <v>1000</v>
      </c>
    </row>
    <row r="55" ht="19" hidden="1" customHeight="1" spans="1:5">
      <c r="A55" s="9">
        <v>1.8</v>
      </c>
      <c r="B55" s="9"/>
      <c r="C55" s="9">
        <v>1000</v>
      </c>
      <c r="D55" s="9"/>
    </row>
    <row r="56" ht="19" hidden="1" customHeight="1" spans="1:5">
      <c r="A56" s="9">
        <v>1.14</v>
      </c>
      <c r="B56" s="9"/>
      <c r="C56" s="9">
        <v>400</v>
      </c>
      <c r="D56" s="9">
        <v>400</v>
      </c>
    </row>
    <row r="57" ht="19" hidden="1" customHeight="1" spans="1:5">
      <c r="A57" s="9">
        <v>1.16</v>
      </c>
      <c r="B57" s="9"/>
      <c r="C57" s="9">
        <v>800</v>
      </c>
      <c r="D57" s="9">
        <v>400</v>
      </c>
    </row>
    <row r="58" ht="19" hidden="1" customHeight="1" spans="1:5">
      <c r="A58" s="9">
        <v>1.22</v>
      </c>
      <c r="B58" s="9"/>
      <c r="C58" s="11">
        <v>1000</v>
      </c>
      <c r="D58" s="11">
        <v>1000</v>
      </c>
      <c r="E58" s="7" t="s">
        <v>436</v>
      </c>
    </row>
    <row r="59" ht="19" hidden="1" customHeight="1" spans="1:5">
      <c r="A59" s="9">
        <v>1.27</v>
      </c>
      <c r="B59" s="11">
        <v>3000</v>
      </c>
      <c r="C59" s="9">
        <v>700</v>
      </c>
      <c r="D59" s="9">
        <v>300</v>
      </c>
    </row>
    <row r="60" ht="19" hidden="1" customHeight="1" spans="1:5">
      <c r="A60" s="9">
        <v>2.3</v>
      </c>
      <c r="B60" s="9"/>
      <c r="C60" s="11">
        <v>400</v>
      </c>
      <c r="D60" s="11">
        <v>600</v>
      </c>
      <c r="E60" s="7" t="s">
        <v>434</v>
      </c>
    </row>
    <row r="61" ht="19" hidden="1" customHeight="1" spans="1:5">
      <c r="A61" s="9">
        <v>2.3</v>
      </c>
      <c r="B61" s="11">
        <v>3000</v>
      </c>
      <c r="C61" s="9"/>
      <c r="D61" s="9"/>
    </row>
    <row r="62" ht="19" hidden="1" customHeight="1" spans="1:5">
      <c r="A62" s="9">
        <v>2.28</v>
      </c>
      <c r="B62" s="9"/>
      <c r="C62" s="9">
        <v>500</v>
      </c>
      <c r="D62" s="9">
        <v>500</v>
      </c>
    </row>
    <row r="63" ht="19" hidden="1" customHeight="1" spans="1:5">
      <c r="A63" s="9">
        <v>3.7</v>
      </c>
      <c r="B63" s="9"/>
      <c r="C63" s="9">
        <v>300</v>
      </c>
      <c r="D63" s="9">
        <v>300</v>
      </c>
    </row>
    <row r="64" ht="19" hidden="1" customHeight="1" spans="1:5">
      <c r="A64" s="9">
        <v>3.1</v>
      </c>
      <c r="B64" s="9"/>
      <c r="C64" s="11">
        <v>700</v>
      </c>
      <c r="D64" s="11">
        <v>700</v>
      </c>
      <c r="E64" s="7" t="s">
        <v>434</v>
      </c>
    </row>
    <row r="65" ht="19" hidden="1" customHeight="1" spans="1:5">
      <c r="A65" s="9">
        <v>3.13</v>
      </c>
      <c r="B65" s="11">
        <v>6000</v>
      </c>
      <c r="C65" s="11">
        <v>1000</v>
      </c>
      <c r="D65" s="11"/>
    </row>
    <row r="66" ht="19" hidden="1" customHeight="1" spans="1:5">
      <c r="A66" s="9">
        <v>3.19</v>
      </c>
      <c r="B66" s="9"/>
      <c r="C66" s="9">
        <v>500</v>
      </c>
      <c r="D66" s="9">
        <v>500</v>
      </c>
    </row>
    <row r="67" ht="19" hidden="1" customHeight="1" spans="1:5">
      <c r="A67" s="10">
        <v>3.23</v>
      </c>
      <c r="B67" s="9"/>
      <c r="C67" s="9">
        <v>1000</v>
      </c>
      <c r="D67" s="9"/>
    </row>
    <row r="68" ht="19" hidden="1" customHeight="1" spans="1:5">
      <c r="A68" s="10">
        <v>3.28</v>
      </c>
      <c r="B68" s="9"/>
      <c r="C68" s="9">
        <v>500</v>
      </c>
      <c r="D68" s="9">
        <v>500</v>
      </c>
    </row>
    <row r="69" ht="19" customHeight="1" spans="1:5">
      <c r="A69" s="10" t="s">
        <v>437</v>
      </c>
      <c r="B69" s="9"/>
      <c r="C69" s="9">
        <v>500</v>
      </c>
      <c r="D69" s="9"/>
    </row>
    <row r="70" ht="19" customHeight="1" spans="1:5">
      <c r="A70" s="9">
        <v>4.4</v>
      </c>
      <c r="B70" s="9"/>
      <c r="C70" s="9"/>
      <c r="D70" s="9">
        <v>500</v>
      </c>
    </row>
    <row r="71" ht="19" customHeight="1" spans="1:5">
      <c r="A71" s="9">
        <v>4.7</v>
      </c>
      <c r="B71" s="9"/>
      <c r="C71" s="11">
        <v>1000</v>
      </c>
      <c r="D71" s="11"/>
      <c r="E71" s="7" t="s">
        <v>434</v>
      </c>
    </row>
    <row r="72" ht="19" customHeight="1" spans="1:5">
      <c r="A72" s="11">
        <v>4.7</v>
      </c>
      <c r="B72" s="11">
        <v>6000</v>
      </c>
      <c r="C72" s="11"/>
      <c r="D72" s="11"/>
    </row>
    <row r="73" ht="19" customHeight="1" spans="1:5">
      <c r="A73" s="9">
        <v>4.11</v>
      </c>
      <c r="B73" s="9"/>
      <c r="C73" s="9"/>
      <c r="D73" s="9">
        <v>1000</v>
      </c>
    </row>
    <row r="74" ht="19" customHeight="1" spans="1:5">
      <c r="A74" s="9">
        <v>4.14</v>
      </c>
      <c r="B74" s="9"/>
      <c r="C74" s="9">
        <v>500</v>
      </c>
      <c r="D74" s="9"/>
    </row>
    <row r="75" ht="19" customHeight="1" spans="1:5">
      <c r="A75" s="9">
        <v>4.19</v>
      </c>
      <c r="B75" s="9"/>
      <c r="C75" s="9">
        <v>500</v>
      </c>
      <c r="D75" s="9"/>
    </row>
    <row r="76" ht="19" customHeight="1" spans="1:5">
      <c r="A76" s="9">
        <v>4.23</v>
      </c>
      <c r="B76" s="9"/>
      <c r="C76" s="9">
        <v>500</v>
      </c>
      <c r="D76" s="9">
        <v>500</v>
      </c>
    </row>
    <row r="77" ht="19" customHeight="1" spans="1:5">
      <c r="A77" s="9">
        <v>4.28</v>
      </c>
      <c r="B77" s="9"/>
      <c r="C77" s="9">
        <v>500</v>
      </c>
      <c r="D77" s="9"/>
    </row>
    <row r="78" ht="19" customHeight="1" spans="1:5">
      <c r="A78" s="12">
        <v>4.3</v>
      </c>
      <c r="B78" s="13"/>
      <c r="C78" s="13">
        <v>1000</v>
      </c>
      <c r="D78" s="13">
        <v>500</v>
      </c>
    </row>
    <row r="79" ht="19" customHeight="1" spans="1:5">
      <c r="A79" s="9">
        <v>5.7</v>
      </c>
      <c r="B79" s="9"/>
      <c r="C79" s="9"/>
      <c r="D79" s="9">
        <v>500</v>
      </c>
    </row>
    <row r="80" ht="19" customHeight="1" spans="1:5">
      <c r="A80" s="11">
        <v>5.11</v>
      </c>
      <c r="B80" s="11">
        <v>6000</v>
      </c>
      <c r="C80" s="11" t="s">
        <v>438</v>
      </c>
      <c r="D80" s="11">
        <v>500</v>
      </c>
    </row>
    <row r="81" ht="19" customHeight="1" spans="1:5">
      <c r="A81" s="9">
        <v>5.14</v>
      </c>
      <c r="B81" s="9"/>
      <c r="C81" s="9"/>
      <c r="D81" s="9">
        <v>500</v>
      </c>
    </row>
    <row r="82" ht="19" customHeight="1" spans="1:5">
      <c r="A82" s="9">
        <v>5.16</v>
      </c>
      <c r="B82" s="9"/>
      <c r="C82" s="9">
        <v>500</v>
      </c>
      <c r="D82" s="9">
        <v>500</v>
      </c>
    </row>
    <row r="83" ht="19" customHeight="1" spans="1:5">
      <c r="A83" s="9">
        <v>5.21</v>
      </c>
      <c r="B83" s="9"/>
      <c r="C83" s="9">
        <v>1000</v>
      </c>
      <c r="D83" s="9">
        <v>1000</v>
      </c>
    </row>
    <row r="84" ht="19" customHeight="1" spans="1:5">
      <c r="A84" s="9">
        <v>5.26</v>
      </c>
      <c r="B84" s="9"/>
      <c r="C84" s="9"/>
      <c r="D84" s="9">
        <v>1000</v>
      </c>
    </row>
    <row r="85" ht="19" customHeight="1" spans="1:5">
      <c r="A85" s="9">
        <v>5.31</v>
      </c>
      <c r="B85" s="9"/>
      <c r="C85" s="11">
        <v>500</v>
      </c>
      <c r="D85" s="11">
        <v>500</v>
      </c>
      <c r="E85" s="7" t="s">
        <v>434</v>
      </c>
    </row>
    <row r="86" ht="19" customHeight="1" spans="1:5">
      <c r="A86" s="11">
        <v>6.2</v>
      </c>
      <c r="B86" s="11">
        <v>6000</v>
      </c>
      <c r="C86" s="11"/>
      <c r="D86" s="11"/>
    </row>
    <row r="87" ht="19" customHeight="1" spans="1:5">
      <c r="A87" s="9">
        <v>6.3</v>
      </c>
      <c r="B87" s="9"/>
      <c r="C87" s="9">
        <v>500</v>
      </c>
      <c r="D87" s="9">
        <v>1000</v>
      </c>
    </row>
    <row r="88" ht="19" customHeight="1" spans="1:5">
      <c r="A88" s="9">
        <v>6.7</v>
      </c>
      <c r="B88" s="9"/>
      <c r="C88" s="9"/>
      <c r="D88" s="9">
        <v>1000</v>
      </c>
    </row>
    <row r="89" ht="19" customHeight="1" spans="1:5">
      <c r="A89" s="9">
        <v>6.9</v>
      </c>
      <c r="B89" s="9"/>
      <c r="C89" s="9">
        <v>500</v>
      </c>
      <c r="D89" s="9">
        <v>1000</v>
      </c>
    </row>
    <row r="90" ht="19" customHeight="1" spans="1:5">
      <c r="A90" s="9">
        <v>6.13</v>
      </c>
      <c r="B90" s="9"/>
      <c r="C90" s="9">
        <v>500</v>
      </c>
      <c r="D90" s="9"/>
    </row>
    <row r="91" ht="19" customHeight="1" spans="1:5">
      <c r="A91" s="13">
        <v>6.18</v>
      </c>
      <c r="B91" s="13"/>
      <c r="C91" s="11">
        <v>500</v>
      </c>
      <c r="D91" s="11">
        <v>1000</v>
      </c>
      <c r="E91" s="7" t="s">
        <v>434</v>
      </c>
    </row>
    <row r="92" ht="19" customHeight="1" spans="1:5">
      <c r="A92" s="11">
        <v>6.18</v>
      </c>
      <c r="B92" s="11">
        <v>6000</v>
      </c>
      <c r="C92" s="11"/>
      <c r="D92" s="11"/>
    </row>
    <row r="93" ht="19" customHeight="1" spans="1:5">
      <c r="A93" s="9">
        <v>6.22</v>
      </c>
      <c r="B93" s="9"/>
      <c r="C93" s="9">
        <v>1000</v>
      </c>
      <c r="D93" s="9">
        <v>1000</v>
      </c>
    </row>
    <row r="94" ht="19" customHeight="1" spans="1:5">
      <c r="A94" s="9">
        <v>6.29</v>
      </c>
      <c r="B94" s="9"/>
      <c r="C94" s="9">
        <v>500</v>
      </c>
      <c r="D94" s="9">
        <v>1000</v>
      </c>
    </row>
    <row r="95" ht="19" customHeight="1" spans="1:5">
      <c r="A95" s="9">
        <v>7.3</v>
      </c>
      <c r="B95" s="9"/>
      <c r="C95" s="9">
        <v>1000</v>
      </c>
      <c r="D95" s="9">
        <v>1000</v>
      </c>
    </row>
    <row r="96" ht="19" customHeight="1" spans="1:5">
      <c r="A96" s="11">
        <v>7.6</v>
      </c>
      <c r="B96" s="11"/>
      <c r="C96" s="11"/>
      <c r="D96" s="11">
        <v>500</v>
      </c>
      <c r="E96" s="7" t="s">
        <v>434</v>
      </c>
    </row>
    <row r="97" ht="19" customHeight="1" spans="1:4">
      <c r="A97" s="11">
        <v>7.7</v>
      </c>
      <c r="B97" s="11">
        <v>6000</v>
      </c>
      <c r="C97" s="11"/>
      <c r="D97" s="11"/>
    </row>
    <row r="98" ht="19" customHeight="1" spans="1:4">
      <c r="A98" s="9">
        <v>7.8</v>
      </c>
      <c r="B98" s="9"/>
      <c r="C98" s="9">
        <v>1000</v>
      </c>
      <c r="D98" s="9">
        <v>1000</v>
      </c>
    </row>
    <row r="99" ht="19" customHeight="1" spans="1:4">
      <c r="A99" s="9">
        <v>7.11</v>
      </c>
      <c r="B99" s="9"/>
      <c r="C99" s="9"/>
      <c r="D99" s="9">
        <v>1000</v>
      </c>
    </row>
    <row r="100" ht="19" customHeight="1" spans="1:4">
      <c r="A100" s="9"/>
      <c r="B100" s="9"/>
      <c r="C100" s="9"/>
      <c r="D100" s="9"/>
    </row>
    <row r="101" ht="19" customHeight="1" spans="1:4">
      <c r="A101" s="9"/>
      <c r="B101" s="9"/>
      <c r="C101" s="9"/>
      <c r="D101" s="9"/>
    </row>
    <row r="102" ht="19" customHeight="1" spans="1:4">
      <c r="A102" s="9"/>
      <c r="B102" s="9"/>
      <c r="C102" s="9"/>
      <c r="D102" s="9"/>
    </row>
    <row r="103" ht="19" customHeight="1" spans="1:4">
      <c r="A103" s="10"/>
      <c r="B103" s="9"/>
      <c r="C103" s="9"/>
      <c r="D103" s="9"/>
    </row>
    <row r="104" ht="19" customHeight="1" spans="1:4">
      <c r="A104" s="10"/>
      <c r="B104" s="9"/>
      <c r="C104" s="9"/>
      <c r="D104" s="9"/>
    </row>
    <row r="105" ht="19" hidden="1" customHeight="1" spans="1:4">
      <c r="A105" s="10"/>
      <c r="B105" s="9"/>
      <c r="C105" s="9">
        <f>SUM(C36:C104)</f>
        <v>31300</v>
      </c>
      <c r="D105" s="9">
        <f>SUM(D36:D104)</f>
        <v>36200</v>
      </c>
    </row>
    <row r="106" ht="19" customHeight="1" spans="1:4">
      <c r="A106" s="9"/>
      <c r="B106" s="10"/>
      <c r="C106" s="9" t="s">
        <v>439</v>
      </c>
      <c r="D106" s="9"/>
    </row>
  </sheetData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ySplit="3" topLeftCell="A4" activePane="bottomLeft" state="frozen"/>
      <selection/>
      <selection pane="bottomLeft" activeCell="A24" sqref="A24"/>
    </sheetView>
  </sheetViews>
  <sheetFormatPr defaultColWidth="9" defaultRowHeight="20" customHeight="1"/>
  <cols>
    <col min="1" max="1" width="28.125" style="2" customWidth="1"/>
    <col min="2" max="4" width="12.625" style="2" customWidth="1"/>
    <col min="5" max="10" width="15.625" style="2" customWidth="1"/>
    <col min="11" max="16384" width="9" style="2"/>
  </cols>
  <sheetData>
    <row r="1" ht="30" customHeight="1" spans="1:10">
      <c r="A1" s="3" t="s">
        <v>32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5" customHeight="1" spans="1:10">
      <c r="A2" s="4" t="s">
        <v>440</v>
      </c>
      <c r="B2" s="4" t="s">
        <v>423</v>
      </c>
      <c r="C2" s="4" t="s">
        <v>424</v>
      </c>
      <c r="D2" s="4" t="s">
        <v>425</v>
      </c>
      <c r="E2" s="5" t="s">
        <v>426</v>
      </c>
      <c r="F2" s="5" t="s">
        <v>427</v>
      </c>
      <c r="G2" s="5" t="s">
        <v>428</v>
      </c>
      <c r="H2" s="5" t="s">
        <v>429</v>
      </c>
      <c r="I2" s="5"/>
      <c r="J2" s="5"/>
    </row>
    <row r="3" s="1" customFormat="1" ht="25" customHeight="1" spans="1:10">
      <c r="A3" s="4"/>
      <c r="B3" s="4"/>
      <c r="C3" s="4"/>
      <c r="D3" s="4"/>
      <c r="E3" s="4" t="s">
        <v>430</v>
      </c>
      <c r="F3" s="4" t="s">
        <v>430</v>
      </c>
      <c r="G3" s="4" t="s">
        <v>430</v>
      </c>
      <c r="H3" s="4" t="s">
        <v>430</v>
      </c>
      <c r="I3" s="4" t="s">
        <v>430</v>
      </c>
      <c r="J3" s="4" t="s">
        <v>430</v>
      </c>
    </row>
    <row r="4" customFormat="1" customHeight="1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customFormat="1" customHeight="1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1" customHeight="1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1" customHeight="1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customFormat="1" customHeight="1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customFormat="1" customHeight="1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customFormat="1" customHeight="1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1" customHeight="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1" customHeight="1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1" customHeight="1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1" customHeight="1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1" customHeight="1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1" customHeight="1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customFormat="1" customHeight="1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Format="1" customHeight="1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customFormat="1" customHeight="1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Format="1" customHeight="1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customFormat="1" customHeight="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Format="1" customHeight="1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customFormat="1" customHeight="1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1" customHeight="1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1" customHeight="1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1" customHeight="1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Format="1" customHeight="1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1" customHeight="1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customFormat="1" customHeight="1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Height="1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customHeight="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</sheetData>
  <mergeCells count="5">
    <mergeCell ref="A1:J1"/>
    <mergeCell ref="A2:A3"/>
    <mergeCell ref="B2:B3"/>
    <mergeCell ref="C2:C3"/>
    <mergeCell ref="D2:D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财务报表填写要求</vt:lpstr>
      <vt:lpstr>收入汇总表</vt:lpstr>
      <vt:lpstr>收入流水表</vt:lpstr>
      <vt:lpstr>水吧销售明细表</vt:lpstr>
      <vt:lpstr>游泳装备销售明细表</vt:lpstr>
      <vt:lpstr>礼品赠送明细表</vt:lpstr>
      <vt:lpstr>发票信息登记表</vt:lpstr>
      <vt:lpstr>赠送</vt:lpstr>
      <vt:lpstr>礼品盘点表</vt:lpstr>
      <vt:lpstr>电</vt:lpstr>
      <vt:lpstr>固定资产盘点表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ones2three</cp:lastModifiedBy>
  <dcterms:created xsi:type="dcterms:W3CDTF">2023-06-15T14:26:00Z</dcterms:created>
  <dcterms:modified xsi:type="dcterms:W3CDTF">2026-07-15T01:04:07Z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EC16D547722DA142F46B566A1BBFCB2B_43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