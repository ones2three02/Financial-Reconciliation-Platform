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40" activeTab="2"/>
  </bookViews>
  <sheets>
    <sheet name="财务报表填写要求" sheetId="1" r:id="rId1"/>
    <sheet name="收入汇总表" sheetId="12" r:id="rId2"/>
    <sheet name="收入流水表" sheetId="13" r:id="rId3"/>
    <sheet name="游泳装备销售明细表" sheetId="5" r:id="rId4"/>
    <sheet name="水吧销售明细表" sheetId="4" r:id="rId5"/>
    <sheet name="发票信息登记表" sheetId="6" r:id="rId6"/>
    <sheet name="礼品赠送明细表" sheetId="9" r:id="rId7"/>
    <sheet name="固定资产盘点表" sheetId="7" r:id="rId8"/>
  </sheets>
  <definedNames>
    <definedName name="_xlnm._FilterDatabase" localSheetId="1" hidden="1">收入汇总表!$A$1:$V$35</definedName>
    <definedName name="_xlnm._FilterDatabase" localSheetId="2" hidden="1">收入流水表!$A$1:$U$221</definedName>
    <definedName name="_xlnm._FilterDatabase" localSheetId="5" hidden="1">发票信息登记表!$A$1:$I$153</definedName>
    <definedName name="_xlnm._FilterDatabase" localSheetId="6" hidden="1">礼品赠送明细表!$A$1:$F$1595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sz val="9"/>
            <rFont val="宋体"/>
            <charset val="134"/>
          </rPr>
          <t>Administrator:
停，转，补，租柜，场租</t>
        </r>
      </text>
    </comment>
    <comment ref="U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当天值班前台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填写日期格式与汇总表保持一致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对应实际情况，填写对应会籍和私教姓名。（以最终成交为准）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赠送部分+其他附言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货名</t>
        </r>
      </text>
    </commen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每副/件进货单价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每副/件售卖单价</t>
        </r>
      </text>
    </commen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数量（单位：瓶）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进货总额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货名</t>
        </r>
      </text>
    </commen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进货单价（单位：瓶）
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售卖单价（单位：瓶）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填写数字</t>
        </r>
      </text>
    </comment>
  </commentList>
</comments>
</file>

<file path=xl/sharedStrings.xml><?xml version="1.0" encoding="utf-8"?>
<sst xmlns="http://schemas.openxmlformats.org/spreadsheetml/2006/main" count="5901" uniqueCount="2557">
  <si>
    <t>财务报表填写要求</t>
  </si>
  <si>
    <t>报表</t>
  </si>
  <si>
    <t>明细</t>
  </si>
  <si>
    <t>所属位置</t>
  </si>
  <si>
    <t>填写要求</t>
  </si>
  <si>
    <t>发表时间</t>
  </si>
  <si>
    <t>每日登记</t>
  </si>
  <si>
    <r>
      <rPr>
        <sz val="12"/>
        <color rgb="FFFF0000"/>
        <rFont val="宋体"/>
        <charset val="134"/>
      </rPr>
      <t>XX</t>
    </r>
    <r>
      <rPr>
        <sz val="12"/>
        <rFont val="宋体"/>
        <charset val="134"/>
      </rPr>
      <t>店财务报表</t>
    </r>
  </si>
  <si>
    <t>收入汇总表</t>
  </si>
  <si>
    <t>收入汇总表!A1</t>
  </si>
  <si>
    <t>有公式自动计算，不允许手动更改</t>
  </si>
  <si>
    <t>每天下班前前台发送到财务邮箱</t>
  </si>
  <si>
    <t>收据流水表</t>
  </si>
  <si>
    <t>收入流水表!A1</t>
  </si>
  <si>
    <t>1、根据真实情况填写，每一列都需要写清楚，与SASS后台系统保持一致（收据合约号必须按顺序填写，不允许跳号使用。）
2、填写日期格式与汇总保持表一致
3、收入类别从下拉框中勾选，不允许随意增加
4、对应实际情况，填写对应会籍和私教姓名（以最终成交为准）。</t>
  </si>
  <si>
    <t>水吧销售明细表</t>
  </si>
  <si>
    <t>水吧销售明细表!A1</t>
  </si>
  <si>
    <t>早晚班只需要统计当天的销售数量（以瓶为单位，只写数字），
收入和利润有公式可自动统计。</t>
  </si>
  <si>
    <t>游泳装备销售明细表</t>
  </si>
  <si>
    <t>游泳装备销售明细表!A1</t>
  </si>
  <si>
    <t>早晚班只需要统计当天的销售数量（以件为单位，只写数字），
收入和利润有公式可自动统计。</t>
  </si>
  <si>
    <t>每周登记</t>
  </si>
  <si>
    <t>发票信息登记表</t>
  </si>
  <si>
    <t>发票信息登记表!A1</t>
  </si>
  <si>
    <t>请核对需开票的会员真实性，
若当月会员未能领取的及时将发票退回财务部门。</t>
  </si>
  <si>
    <t>每周四晚下班前发送到财务邮箱</t>
  </si>
  <si>
    <t>每月登记</t>
  </si>
  <si>
    <t>礼品盘点表</t>
  </si>
  <si>
    <t>礼品盘点表!A1</t>
  </si>
  <si>
    <t>以公司实际采购、赠送来填写礼品当月的情况。</t>
  </si>
  <si>
    <t>次月1号下午发送到财务邮箱</t>
  </si>
  <si>
    <t>固定资产盘点</t>
  </si>
  <si>
    <t>固定资产盘点表</t>
  </si>
  <si>
    <t>固定资产盘点表!A1</t>
  </si>
  <si>
    <t>以公司实际购入、报损来填写器械当月的情况。</t>
  </si>
  <si>
    <t>2026年山道健身营业收入统计总表</t>
  </si>
  <si>
    <t>主营业务</t>
  </si>
  <si>
    <t>其它业务</t>
  </si>
  <si>
    <t>当日收入</t>
  </si>
  <si>
    <t>付款方式</t>
  </si>
  <si>
    <t>当日现金情况</t>
  </si>
  <si>
    <t>备注</t>
  </si>
  <si>
    <t>日期</t>
  </si>
  <si>
    <t>会籍收入</t>
  </si>
  <si>
    <t>私教收入</t>
  </si>
  <si>
    <t>教练班收入</t>
  </si>
  <si>
    <t>中国舞</t>
  </si>
  <si>
    <t>餐吧收入</t>
  </si>
  <si>
    <t>其他收入</t>
  </si>
  <si>
    <t>小计</t>
  </si>
  <si>
    <t>水吧收入</t>
  </si>
  <si>
    <t>游泳装备</t>
  </si>
  <si>
    <t>美团收入</t>
  </si>
  <si>
    <t>抖音收入</t>
  </si>
  <si>
    <t>合计</t>
  </si>
  <si>
    <t>微信</t>
  </si>
  <si>
    <t>支付宝</t>
  </si>
  <si>
    <t>POS</t>
  </si>
  <si>
    <t>现金</t>
  </si>
  <si>
    <t>存入</t>
  </si>
  <si>
    <t>备用金</t>
  </si>
  <si>
    <t>经办人</t>
  </si>
  <si>
    <t>7月合计</t>
  </si>
  <si>
    <t>收据编号</t>
  </si>
  <si>
    <t>收入类别</t>
  </si>
  <si>
    <t>姓名</t>
  </si>
  <si>
    <t>联系方式</t>
  </si>
  <si>
    <t>卡种/课种</t>
  </si>
  <si>
    <t>课时节数</t>
  </si>
  <si>
    <t>付款类别</t>
  </si>
  <si>
    <t>金额</t>
  </si>
  <si>
    <t>业绩奖励人</t>
  </si>
  <si>
    <t>奖励机制</t>
  </si>
  <si>
    <t>是否添加微信</t>
  </si>
  <si>
    <t>合约编号</t>
  </si>
  <si>
    <t>会员是否签字</t>
  </si>
  <si>
    <t>是否续卡/续课</t>
  </si>
  <si>
    <t>是否核单</t>
  </si>
  <si>
    <t>类型</t>
  </si>
  <si>
    <t>使用门店</t>
  </si>
  <si>
    <t>赵盼</t>
  </si>
  <si>
    <t>两个泳帽是现金</t>
  </si>
  <si>
    <t>刘芷琳</t>
  </si>
  <si>
    <t>游泳培训1V1</t>
  </si>
  <si>
    <t>全款</t>
  </si>
  <si>
    <t>万诗琴</t>
  </si>
  <si>
    <t>一对一10节课 包教会 送暑假畅游</t>
  </si>
  <si>
    <t>是</t>
  </si>
  <si>
    <t>否</t>
  </si>
  <si>
    <t>预约</t>
  </si>
  <si>
    <t>凡熙震</t>
  </si>
  <si>
    <t>游泳培训1V2</t>
  </si>
  <si>
    <t>定金</t>
  </si>
  <si>
    <t>一对二,10节课,定金，送三个月游泳时间</t>
  </si>
  <si>
    <t>程浩楠</t>
  </si>
  <si>
    <t>叶良艳</t>
  </si>
  <si>
    <t>次卡</t>
  </si>
  <si>
    <t>刘镇</t>
  </si>
  <si>
    <t>游泳50次次卡</t>
  </si>
  <si>
    <t>单价</t>
  </si>
  <si>
    <t>钱功业</t>
  </si>
  <si>
    <t>一对二 10节课 送暑假畅游</t>
  </si>
  <si>
    <t>张世杰</t>
  </si>
  <si>
    <t>一对一 20节课 送四个月</t>
  </si>
  <si>
    <t>柯梦晴</t>
  </si>
  <si>
    <t>贺琨 /李兴阳</t>
  </si>
  <si>
    <t>一对一10节课 送三个月</t>
  </si>
  <si>
    <t>徐乐添</t>
  </si>
  <si>
    <t>陈江丽</t>
  </si>
  <si>
    <t>一对二 包教会 送3个月畅游</t>
  </si>
  <si>
    <t>王楚夫
王楚兮</t>
  </si>
  <si>
    <t>双学年卡</t>
  </si>
  <si>
    <t>亲子双年卡送年卡</t>
  </si>
  <si>
    <t>董雨宸</t>
  </si>
  <si>
    <t>李洋</t>
  </si>
  <si>
    <t>年卡</t>
  </si>
  <si>
    <t>吴秋宇
毛俊怡</t>
  </si>
  <si>
    <t>18908669790
17671719105</t>
  </si>
  <si>
    <t>贺琨</t>
  </si>
  <si>
    <t>游泳一对二10节课 送3个月</t>
  </si>
  <si>
    <t>陈盛霖</t>
  </si>
  <si>
    <t>季卡</t>
  </si>
  <si>
    <t>季卡送一个月</t>
  </si>
  <si>
    <t>宋欣潼</t>
  </si>
  <si>
    <t>王楠</t>
  </si>
  <si>
    <t>半年卡</t>
  </si>
  <si>
    <t>半年卡送四个月</t>
  </si>
  <si>
    <t>转卡费200</t>
  </si>
  <si>
    <t>李小翠</t>
  </si>
  <si>
    <t>游泳次卡100次送30次</t>
  </si>
  <si>
    <t>刘娜</t>
  </si>
  <si>
    <t>月卡</t>
  </si>
  <si>
    <t>涂小红</t>
  </si>
  <si>
    <t>邱志杰</t>
  </si>
  <si>
    <t>一对一10节课 送四个月</t>
  </si>
  <si>
    <t>李晓霞</t>
  </si>
  <si>
    <t>学年卡</t>
  </si>
  <si>
    <t>升级</t>
  </si>
  <si>
    <t>升级学年卡</t>
  </si>
  <si>
    <t>夏建设</t>
  </si>
  <si>
    <t>双年卡</t>
  </si>
  <si>
    <t>双年卡 送半年</t>
  </si>
  <si>
    <t>王子超</t>
  </si>
  <si>
    <t>一对二,10节课,包教会</t>
  </si>
  <si>
    <t>朱仁杰</t>
  </si>
  <si>
    <t>游泳双学年卡 送两个月</t>
  </si>
  <si>
    <t>寇蓉</t>
  </si>
  <si>
    <t>一对二10节课包教会送3个月游泳</t>
  </si>
  <si>
    <t>单次</t>
  </si>
  <si>
    <t>范琳</t>
  </si>
  <si>
    <t>常规课</t>
  </si>
  <si>
    <t>刘笑天</t>
  </si>
  <si>
    <t>王虫虫</t>
  </si>
  <si>
    <t>美团</t>
  </si>
  <si>
    <t>美团购买</t>
  </si>
  <si>
    <t>刘艳容</t>
  </si>
  <si>
    <t>封庆</t>
  </si>
  <si>
    <t>游泳年卡</t>
  </si>
  <si>
    <t>许立弓</t>
  </si>
  <si>
    <t>袁辉/曾庆爽</t>
  </si>
  <si>
    <t>定金200</t>
  </si>
  <si>
    <t>他煌</t>
  </si>
  <si>
    <t>游泳100次 送二十次</t>
  </si>
  <si>
    <t>黄浩</t>
  </si>
  <si>
    <t>周一鸣</t>
  </si>
  <si>
    <t>升级一对一</t>
  </si>
  <si>
    <t>郭明羽</t>
  </si>
  <si>
    <t>高家林</t>
  </si>
  <si>
    <t>老会员送两个月游泳卡</t>
  </si>
  <si>
    <t>陆羽泽</t>
  </si>
  <si>
    <r>
      <rPr>
        <sz val="11"/>
        <color theme="1"/>
        <rFont val="宋体"/>
        <charset val="134"/>
        <scheme val="minor"/>
      </rPr>
      <t>月卡</t>
    </r>
    <r>
      <rPr>
        <sz val="11"/>
        <color rgb="FFFF0000"/>
        <rFont val="宋体"/>
        <charset val="134"/>
        <scheme val="minor"/>
      </rPr>
      <t>（美团购买）</t>
    </r>
  </si>
  <si>
    <t>曾庆爽</t>
  </si>
  <si>
    <t>丁亮</t>
  </si>
  <si>
    <t>升级健身年卡</t>
  </si>
  <si>
    <t>杨铂霖</t>
  </si>
  <si>
    <t>一对二,10节课,送3个月的时间</t>
  </si>
  <si>
    <t>奚宇涵
肖于希</t>
  </si>
  <si>
    <t>长训50节课,一对一,课程没有有效期</t>
  </si>
  <si>
    <t>奚锐</t>
  </si>
  <si>
    <t>升级游泳年卡</t>
  </si>
  <si>
    <t>胡牧也 
黄嘉棋</t>
  </si>
  <si>
    <t>13163372073
18601205051</t>
  </si>
  <si>
    <t>一对二10节课 送暑假畅游</t>
  </si>
  <si>
    <t>贺飞飞</t>
  </si>
  <si>
    <t>升级两学年</t>
  </si>
  <si>
    <t>郑雨荷</t>
  </si>
  <si>
    <t>一对一10节课 送三个月畅游</t>
  </si>
  <si>
    <t>刘诗晴</t>
  </si>
  <si>
    <t>周蔓青</t>
  </si>
  <si>
    <t>一对一10节课 送两个月</t>
  </si>
  <si>
    <t>雷皓成</t>
  </si>
  <si>
    <t>潘芷悦</t>
  </si>
  <si>
    <t>王恺</t>
  </si>
  <si>
    <t>王开航</t>
  </si>
  <si>
    <t>升级健身游泳年卡</t>
  </si>
  <si>
    <t>段缓</t>
  </si>
  <si>
    <t>三人同行送六个月共19个月健身卡</t>
  </si>
  <si>
    <t>邓存宇</t>
  </si>
  <si>
    <t>张环</t>
  </si>
  <si>
    <t>特色课</t>
  </si>
  <si>
    <t>邱昊/曾庆爽</t>
  </si>
  <si>
    <t>康复课10节</t>
  </si>
  <si>
    <t>丁俊轩</t>
  </si>
  <si>
    <t>双月卡送一个月</t>
  </si>
  <si>
    <t>蒙檬</t>
  </si>
  <si>
    <t>季敬亭</t>
  </si>
  <si>
    <t>一对一 10节课 送暑假畅游</t>
  </si>
  <si>
    <t>张艳婷</t>
  </si>
  <si>
    <t>年卡 送四个月</t>
  </si>
  <si>
    <t>薛明慎</t>
  </si>
  <si>
    <r>
      <rPr>
        <sz val="11"/>
        <color theme="1"/>
        <rFont val="宋体"/>
        <charset val="134"/>
        <scheme val="minor"/>
      </rPr>
      <t>游泳季卡</t>
    </r>
    <r>
      <rPr>
        <sz val="11"/>
        <color rgb="FFFF0000"/>
        <rFont val="宋体"/>
        <charset val="134"/>
        <scheme val="minor"/>
      </rPr>
      <t>（美团购买）</t>
    </r>
  </si>
  <si>
    <t>徐宗睿</t>
  </si>
  <si>
    <t>一对一,10节课,送两个月游泳</t>
  </si>
  <si>
    <t>供婷
刘易扬
刘翌成</t>
  </si>
  <si>
    <t>游泳培训1V3</t>
  </si>
  <si>
    <t>一对三 送两个月时间 包教会 10节课</t>
  </si>
  <si>
    <t>阿衣</t>
  </si>
  <si>
    <t>蕫殿强</t>
  </si>
  <si>
    <t>陈静
王倩倩</t>
  </si>
  <si>
    <t>17671092505
15617799780</t>
  </si>
  <si>
    <t>刘文昌</t>
  </si>
  <si>
    <t>一对二 5节课 送一个月健身游泳卡</t>
  </si>
  <si>
    <t>喻丹佳</t>
  </si>
  <si>
    <t>健身游泳套餐卡 2026</t>
  </si>
  <si>
    <t>谢沈
尹沈越</t>
  </si>
  <si>
    <t>补金1900.一对二,10节课
送2个月游泳 包教会</t>
  </si>
  <si>
    <t>彭闯</t>
  </si>
  <si>
    <t>补金</t>
  </si>
  <si>
    <t>梁美燕 张元沥</t>
  </si>
  <si>
    <t>升级游泳一对一</t>
  </si>
  <si>
    <t>熊睿玲</t>
  </si>
  <si>
    <t>张浔</t>
  </si>
  <si>
    <t>黄炎熙</t>
  </si>
  <si>
    <t>洪辰伊</t>
  </si>
  <si>
    <t>游泳次卡40次</t>
  </si>
  <si>
    <t>李文聪</t>
  </si>
  <si>
    <t>双月卡</t>
  </si>
  <si>
    <t>饶书涵</t>
  </si>
  <si>
    <t>长训班</t>
  </si>
  <si>
    <t>25节长训</t>
  </si>
  <si>
    <t>王苗</t>
  </si>
  <si>
    <t>游泳次卡30次 送十次</t>
  </si>
  <si>
    <t>梅梦成</t>
  </si>
  <si>
    <t>两年健身游泳</t>
  </si>
  <si>
    <t>殷金伟 殷宁远  殷宁霞</t>
  </si>
  <si>
    <t>方琪 成诗颖 
蔡雯娟 李灿</t>
  </si>
  <si>
    <t>13071285192
15027360449
18979258278
15572543272</t>
  </si>
  <si>
    <t>饶少泽</t>
  </si>
  <si>
    <t>康复课三节</t>
  </si>
  <si>
    <t>翁子墨</t>
  </si>
  <si>
    <t>汪涛</t>
  </si>
  <si>
    <t>董殿强</t>
  </si>
  <si>
    <t>会员购课6节课</t>
  </si>
  <si>
    <t>邱浩鑫</t>
  </si>
  <si>
    <t>升级一对一20节课</t>
  </si>
  <si>
    <t>林茜</t>
  </si>
  <si>
    <t>游泳月卡 转发朋友圈送一个月 共两个月</t>
  </si>
  <si>
    <t>宋皓哲</t>
  </si>
  <si>
    <t>王鹤兰</t>
  </si>
  <si>
    <t>年卡 送四个月 发朋友圈送一个月</t>
  </si>
  <si>
    <t>贾璐</t>
  </si>
  <si>
    <t>丁晨光</t>
  </si>
  <si>
    <t>3节特色课</t>
  </si>
  <si>
    <t>刘圣火</t>
  </si>
  <si>
    <t>熊郁葵</t>
  </si>
  <si>
    <t>曹梦钰</t>
  </si>
  <si>
    <t>袁辉</t>
  </si>
  <si>
    <t>600 八个月升级</t>
  </si>
  <si>
    <t>董微</t>
  </si>
  <si>
    <t>100次送30次</t>
  </si>
  <si>
    <t>刘心玥</t>
  </si>
  <si>
    <t>游泳一对一 10节课 送三个月</t>
  </si>
  <si>
    <t>王婷</t>
  </si>
  <si>
    <t>游泳一对二10节课 送2个月</t>
  </si>
  <si>
    <t>年卡送半年</t>
  </si>
  <si>
    <t>郑甫澄</t>
  </si>
  <si>
    <t>刘子墨</t>
  </si>
  <si>
    <t>三十次卡+一对一 十节课</t>
  </si>
  <si>
    <t>褚思睿</t>
  </si>
  <si>
    <t>一对一 升级十节课+2026年游泳卡</t>
  </si>
  <si>
    <t>周-鸣</t>
  </si>
  <si>
    <t>升级一对一 20节课 差两个月时间</t>
  </si>
  <si>
    <t>董婉清</t>
  </si>
  <si>
    <t>一对二,10节课,包教会，张总特批</t>
  </si>
  <si>
    <t>郑慕齐
潘奕筝</t>
  </si>
  <si>
    <t>一对二 10节课 送两个月</t>
  </si>
  <si>
    <t>宾彩妮</t>
  </si>
  <si>
    <t>年卡 送半年 发朋友圈送一个月</t>
  </si>
  <si>
    <t>杨梅</t>
  </si>
  <si>
    <r>
      <rPr>
        <sz val="11"/>
        <color theme="1"/>
        <rFont val="宋体"/>
        <charset val="134"/>
        <scheme val="minor"/>
      </rPr>
      <t>200次卡</t>
    </r>
    <r>
      <rPr>
        <sz val="11"/>
        <color rgb="FFFF0000"/>
        <rFont val="宋体"/>
        <charset val="134"/>
        <scheme val="minor"/>
      </rPr>
      <t>（钱直接打公司账户了）</t>
    </r>
  </si>
  <si>
    <t>李璐</t>
  </si>
  <si>
    <t>套餐卡（年卡+一对二 10节课 包教会）</t>
  </si>
  <si>
    <t>周之瑶</t>
  </si>
  <si>
    <t>一对二10节课 送暑假畅游 （包教会）</t>
  </si>
  <si>
    <t>徐芷珊</t>
  </si>
  <si>
    <t>一对二20节课 包教会 送4个月畅游</t>
  </si>
  <si>
    <t>杨子欣</t>
  </si>
  <si>
    <t>一对二10节课包教会 送四个月畅游</t>
  </si>
  <si>
    <t>凡熙宸</t>
  </si>
  <si>
    <t>补余一对二 10节课 送三个月游泳时间</t>
  </si>
  <si>
    <t>高晏柏</t>
  </si>
  <si>
    <t>彭昱铭</t>
  </si>
  <si>
    <t>邱昊/袁辉</t>
  </si>
  <si>
    <t>常规课18节 （张总特批）送18次卡</t>
  </si>
  <si>
    <t>李兴阳</t>
  </si>
  <si>
    <t>柳玥
柳晶晶</t>
  </si>
  <si>
    <t>17671797505
13886772160</t>
  </si>
  <si>
    <t>一对二 10节课 送3个月</t>
  </si>
  <si>
    <t>刘一恒
刘一诺</t>
  </si>
  <si>
    <t>一对二,10节课,包教会,送2个月游泳</t>
  </si>
  <si>
    <t>孙慧
王诗墨</t>
  </si>
  <si>
    <t>一对二 10节课 送两个月畅游</t>
  </si>
  <si>
    <t>张夏悦</t>
  </si>
  <si>
    <t>游泳双月卡</t>
  </si>
  <si>
    <t>张童馨</t>
  </si>
  <si>
    <t>王思怡</t>
  </si>
  <si>
    <t>王昀            陈雨薇</t>
  </si>
  <si>
    <t>13212774916 
17354360934</t>
  </si>
  <si>
    <t>伍文薇</t>
  </si>
  <si>
    <t>邓景月</t>
  </si>
  <si>
    <t>抖音</t>
  </si>
  <si>
    <r>
      <rPr>
        <sz val="11"/>
        <color theme="1"/>
        <rFont val="宋体"/>
        <charset val="134"/>
        <scheme val="minor"/>
      </rPr>
      <t xml:space="preserve">游泳月卡 </t>
    </r>
    <r>
      <rPr>
        <sz val="11"/>
        <color rgb="FFFF0000"/>
        <rFont val="宋体"/>
        <charset val="134"/>
        <scheme val="minor"/>
      </rPr>
      <t>（美团）</t>
    </r>
  </si>
  <si>
    <t>柯楠</t>
  </si>
  <si>
    <t>游泳一对二10节课 包教会 送2026年末</t>
  </si>
  <si>
    <t>陈凯悌</t>
  </si>
  <si>
    <t>陈冲</t>
  </si>
  <si>
    <t>(菲菲18827381977）一对一1500+500      改为两个一对二</t>
  </si>
  <si>
    <t>李娜 黄艺欣</t>
  </si>
  <si>
    <t>游泳一对二+亲子年卡送十次次卡</t>
  </si>
  <si>
    <t>谢婉琴</t>
  </si>
  <si>
    <t>年卡，送半年，送一对二的10节课，包教会</t>
  </si>
  <si>
    <t>悠悠</t>
  </si>
  <si>
    <t>一对二 10节课 送两个月游泳（老会员续课)</t>
  </si>
  <si>
    <t>罗一博</t>
  </si>
  <si>
    <t>一对二10节课 送两个月</t>
  </si>
  <si>
    <t>向仕勇
柳宇哲</t>
  </si>
  <si>
    <t>一对二10节课 包教会送两个月畅游</t>
  </si>
  <si>
    <t>邱昊</t>
  </si>
  <si>
    <t>浦如晨</t>
  </si>
  <si>
    <t>程浩楠/袁辉</t>
  </si>
  <si>
    <t>一对一10节课 送三个月健身游泳</t>
  </si>
  <si>
    <t>陶婉璐 
曾晞云</t>
  </si>
  <si>
    <t>亲子卡送半年 10节课</t>
  </si>
  <si>
    <t>马川</t>
  </si>
  <si>
    <t>升级两年卡 送七个月</t>
  </si>
  <si>
    <t>易宁晞</t>
  </si>
  <si>
    <t>一对二20节课 送四个月畅游</t>
  </si>
  <si>
    <t>谭有元</t>
  </si>
  <si>
    <t>杨来</t>
  </si>
  <si>
    <t>一对一10节课 包学会 送两个月畅游</t>
  </si>
  <si>
    <t>逯健方</t>
  </si>
  <si>
    <t>姚明佳</t>
  </si>
  <si>
    <t>乐孜</t>
  </si>
  <si>
    <t>王荟奥 
朱琳</t>
  </si>
  <si>
    <t>17762591706
 13235483725</t>
  </si>
  <si>
    <t>季卡 送一个月</t>
  </si>
  <si>
    <t>何雨馨</t>
  </si>
  <si>
    <t>一对一 10节课 包教会送两个月畅游</t>
  </si>
  <si>
    <t>孔德雨</t>
  </si>
  <si>
    <t>健身游泳季卡</t>
  </si>
  <si>
    <t>朱倩茹</t>
  </si>
  <si>
    <t>双年卡送半年+游泳一对一10节课</t>
  </si>
  <si>
    <t>段雅然</t>
  </si>
  <si>
    <t>吴思颖</t>
  </si>
  <si>
    <t>180621144617</t>
  </si>
  <si>
    <t>游泳季卡送一个月</t>
  </si>
  <si>
    <t>何佳豪</t>
  </si>
  <si>
    <t>美团月卡</t>
  </si>
  <si>
    <t>康康 
米宝</t>
  </si>
  <si>
    <t>一对二10节课 送两个月畅游（老会员续课）</t>
  </si>
  <si>
    <t>谭依琳</t>
  </si>
  <si>
    <t>张其航</t>
  </si>
  <si>
    <t>美团季卡</t>
  </si>
  <si>
    <t>玥玥</t>
  </si>
  <si>
    <t>一对一10节课 升级20节课</t>
  </si>
  <si>
    <t>米珍
 德青拉姆</t>
  </si>
  <si>
    <t>13989085017
 15728942424</t>
  </si>
  <si>
    <t xml:space="preserve">季卡送一个月 </t>
  </si>
  <si>
    <t>董建业</t>
  </si>
  <si>
    <t>私教包月</t>
  </si>
  <si>
    <t>单次卡</t>
  </si>
  <si>
    <t>余耀强</t>
  </si>
  <si>
    <t>贺坤</t>
  </si>
  <si>
    <t>健身月卡</t>
  </si>
  <si>
    <t>孙丽华</t>
  </si>
  <si>
    <t>一对二自由泳送三个月健身+游泳</t>
  </si>
  <si>
    <t>冯昊轩</t>
  </si>
  <si>
    <t>长训30节</t>
  </si>
  <si>
    <t>韩宇姿</t>
  </si>
  <si>
    <t>泳镜</t>
  </si>
  <si>
    <t>泳帽</t>
  </si>
  <si>
    <t>泳衣</t>
  </si>
  <si>
    <t>泳裤</t>
  </si>
  <si>
    <t>三件套（衣）</t>
  </si>
  <si>
    <t>三件套（裤）</t>
  </si>
  <si>
    <t>纸巾</t>
  </si>
  <si>
    <t>收入</t>
  </si>
  <si>
    <t>成本</t>
  </si>
  <si>
    <t>利润</t>
  </si>
  <si>
    <t>进价</t>
  </si>
  <si>
    <t>售价</t>
  </si>
  <si>
    <t>月进货</t>
  </si>
  <si>
    <t>应有库存量</t>
  </si>
  <si>
    <t>实际库存量</t>
  </si>
  <si>
    <t>农夫山泉</t>
  </si>
  <si>
    <t>脉动</t>
  </si>
  <si>
    <t>电解质</t>
  </si>
  <si>
    <t>元气森林</t>
  </si>
  <si>
    <t>手帕纸</t>
  </si>
  <si>
    <t>冰茶</t>
  </si>
  <si>
    <t>大电解质</t>
  </si>
  <si>
    <t>二厂苏打水</t>
  </si>
  <si>
    <t>外星人维c水</t>
  </si>
  <si>
    <t>外星人wave</t>
  </si>
  <si>
    <t>会员姓名</t>
  </si>
  <si>
    <t>发票抬头</t>
  </si>
  <si>
    <t>开票金额</t>
  </si>
  <si>
    <t>开票情况</t>
  </si>
  <si>
    <t>开票名称</t>
  </si>
  <si>
    <t>开票税号</t>
  </si>
  <si>
    <t>开票地址、电话</t>
  </si>
  <si>
    <t>开票账户</t>
  </si>
  <si>
    <t>张利利</t>
  </si>
  <si>
    <t>武汉欧瑞景环保科技有限公司</t>
  </si>
  <si>
    <t>91420112 MA4KLDHP5M</t>
  </si>
  <si>
    <t>洪山区南李路27号圣爱米伦科研部分G栋1单元1-19层地址、
 电话:1205号027-87171898</t>
  </si>
  <si>
    <t>开户行及账号:中国农业银行武汉南湖支行
1703 1101040015736</t>
  </si>
  <si>
    <t>已开</t>
  </si>
  <si>
    <t>李尹幻</t>
  </si>
  <si>
    <t>薯一薯二文化传媒（武汉）有限公司</t>
  </si>
  <si>
    <t>91420100MADM5GFX7Q</t>
  </si>
  <si>
    <t>湖北省武汉市东湖新技术开发区光谷三路777号移动终端产业园1号楼4层410、411、412号410-041 电 话：027-59359862</t>
  </si>
  <si>
    <t xml:space="preserve">招商银行股份有限公司武汉光谷科技支行
银行账号：127921008610009
</t>
  </si>
  <si>
    <t>陈玲</t>
  </si>
  <si>
    <t>武汉创信智谷商业地产有限公司</t>
  </si>
  <si>
    <t>91420106MA49B9F29Y</t>
  </si>
  <si>
    <t>湖北省武汉市洪山区洪山街道文化大道555号融创智谷B2栋2层7号</t>
  </si>
  <si>
    <t>兴业银行武汉分行营业部
银行账户:416010100102192417</t>
  </si>
  <si>
    <t>银行名称：招商银行股份有限公司武汉光谷科技支行
银行账号：127921008610009</t>
  </si>
  <si>
    <t>林朝举</t>
  </si>
  <si>
    <t>武汉海实电气有限公司</t>
  </si>
  <si>
    <t>91420100568371285T</t>
  </si>
  <si>
    <t>地址、电话:武汉市东湖新技术开发区光谷大道62号关南福星
医药园8幢3层5号房 07-87207853</t>
  </si>
  <si>
    <t>开户行:工行武汉黄金山支行不平
帐号:3202162919060003497</t>
  </si>
  <si>
    <t>方片</t>
  </si>
  <si>
    <t>湖北省武汉市东湖新技术开发区光谷三路777号移动终端产业园
1号楼4层410、411、412号410-041 电 话：027-59359862</t>
  </si>
  <si>
    <t>招商银行股份有限公司武汉光谷科技支行
银行账号：127921008610009</t>
  </si>
  <si>
    <t>Daniel</t>
  </si>
  <si>
    <t>上海艾奚科技有限公司</t>
  </si>
  <si>
    <t>91310116MADBJW909U</t>
  </si>
  <si>
    <t>上海市金山区亭林镇兴工路225号1幢</t>
  </si>
  <si>
    <t>开户银行：招商银行股份有限公司上
海安亭支行银行账户：121953754310000</t>
  </si>
  <si>
    <t>胡珺玲</t>
  </si>
  <si>
    <t>武汉杰睿斯科生物科技有限公司</t>
  </si>
  <si>
    <t>91420106MA4KRF406N</t>
  </si>
  <si>
    <t>武昌区南湖街北港村南国南湖城市广场3栋19层1室15972902427</t>
  </si>
  <si>
    <t>华夏银行武汉雄楚
支行11161000000956085</t>
  </si>
  <si>
    <t>王淑琴</t>
  </si>
  <si>
    <t>朗新科技集团股份有限公司</t>
  </si>
  <si>
    <t>91320200747189665N</t>
  </si>
  <si>
    <t>无锡新吴区净慧东道118号1楼</t>
  </si>
  <si>
    <t>开户行及账号:中国工商银行股份有限公司无锡新吴支行
1103020819200405492</t>
  </si>
  <si>
    <t>黄宇轩</t>
  </si>
  <si>
    <t>舒月</t>
  </si>
  <si>
    <t>武汉潍动机电设备有限公司</t>
  </si>
  <si>
    <t>91420104MA49ML6Q0N</t>
  </si>
  <si>
    <t>武汉市硚口区汉西新村保利香槟国际（ B 区） 10 栋 10 层 5 号 电话： 027-85834655</t>
  </si>
  <si>
    <t>开户行： 中国银行武汉万松支行
账号： 5755 7965 4099</t>
  </si>
  <si>
    <t>余家豪</t>
  </si>
  <si>
    <t>南拳互娱(武汉)文化传媒有限公司</t>
  </si>
  <si>
    <t>91420100MA4KYH1C9R</t>
  </si>
  <si>
    <t xml:space="preserve">湖北省武汉市东湖新技术开发区光谷三路777号移动终
端产业园1号楼4层410、411、412号410-041电 话：027-59359862
</t>
  </si>
  <si>
    <t>银行名称：招商银行股份有限公司武汉光谷科技支行银行账号：127921008610009</t>
  </si>
  <si>
    <t>方芳</t>
  </si>
  <si>
    <t>地 址：湖北省武汉市东湖新技术开发区光谷三路777号移动终端产业园1号楼4层410、411、412号410-041
电 话：027-59359862</t>
  </si>
  <si>
    <t>汪娟</t>
  </si>
  <si>
    <t>武汉奥浦信息技术有限公司</t>
  </si>
  <si>
    <t>9142010057490421X6</t>
  </si>
  <si>
    <t>地址电话:武汉市东湖新技术开发区黄龙山南路2号
光谷光电信息产业创新创业基地一期2幢13层1301 027-87581008</t>
  </si>
  <si>
    <t>开户行及账号:工商银行武汉软件园支行
3202105809100010890</t>
  </si>
  <si>
    <t>金凌云</t>
  </si>
  <si>
    <t>黄锦跃</t>
  </si>
  <si>
    <t>武汉世凡宜美建筑工程有限公司</t>
  </si>
  <si>
    <t>91420111MA49H8E815</t>
  </si>
  <si>
    <t>开户银行:中国农业银行股份有限公司武汉佳丽广场支行
 银行账号号:17008801040019195</t>
  </si>
  <si>
    <t>郭文</t>
  </si>
  <si>
    <t>蒋丽云</t>
  </si>
  <si>
    <t>李文麒</t>
  </si>
  <si>
    <t>湖北富瑞尔科技有限公司</t>
  </si>
  <si>
    <t>电话027-81822188</t>
  </si>
  <si>
    <t>王龙英</t>
  </si>
  <si>
    <t>北京路宇葛务虚文化传播有限公司</t>
  </si>
  <si>
    <t>91110112MACWMY2K7M</t>
  </si>
  <si>
    <t>吴璇卿</t>
  </si>
  <si>
    <t>黄霞</t>
  </si>
  <si>
    <t>胡润</t>
  </si>
  <si>
    <t>无锡新吴区净慧东道118号1楼
0510-66676999</t>
  </si>
  <si>
    <t>中国工商银行股份有限公司无锡新吴支行
 1103020819200405492</t>
  </si>
  <si>
    <t>陈欢</t>
  </si>
  <si>
    <t>邵钰琳</t>
  </si>
  <si>
    <t>青岛惠都食品有限公司</t>
  </si>
  <si>
    <t>913702006143165798</t>
  </si>
  <si>
    <t>单位地址
青岛市市南区闽江路2号1单元701户
电话号码
053285757939</t>
  </si>
  <si>
    <t>开户银行
光大银行青岛分行
银行账户
083801120100305013287</t>
  </si>
  <si>
    <t>韩园</t>
  </si>
  <si>
    <t>武汉银楚物资有限公司</t>
  </si>
  <si>
    <t>914201020744903216</t>
  </si>
  <si>
    <t>武汉市江岸区解放大道2020号中储物流服务中心大楼2层06室
027-82823862</t>
  </si>
  <si>
    <t>农行武汉丹水池支行
17-000901040020496</t>
  </si>
  <si>
    <t>罗舒涵</t>
  </si>
  <si>
    <t>湖北和之源园林市政工程有限公司</t>
  </si>
  <si>
    <t>91420111090817603N</t>
  </si>
  <si>
    <t>单位地址：洪山区马湖路2号保利·心语8栋1单元6层01号
电话：13971177028</t>
  </si>
  <si>
    <t>开户银行：中国建设银行股份有限公司武汉中北路支行
银行账户：42001165028053003918</t>
  </si>
  <si>
    <t>黄菊容</t>
  </si>
  <si>
    <t>葛洲坝集团供应链管理有限
公司工会委员会</t>
  </si>
  <si>
    <t>8142 0000 MC91 6381 1Y</t>
  </si>
  <si>
    <t>单位地址：武汉市硚口区桥口路162号葛洲坝城市花园二期11栋12层
电话：027-83778185</t>
  </si>
  <si>
    <t>开户银行：交通银行武汉太平洋支行
银行账户：4214 2108 2012 0010 8903 0</t>
  </si>
  <si>
    <t>张芷苓</t>
  </si>
  <si>
    <t>武汉渲奇旅游文化有限公司</t>
  </si>
  <si>
    <t>91420100MA4KNDC85W</t>
  </si>
  <si>
    <t>电话号码: 15007109316邮箱: 364942451@qq.com</t>
  </si>
  <si>
    <t>张朝冲</t>
  </si>
  <si>
    <t>湖北省武汉市东湖新技术开发区光谷三路777号移动终端产业园1号楼4层410、411、412号410-041
电 话：027-59359862</t>
  </si>
  <si>
    <t>招商银行股份有限公司武汉光谷科技支行</t>
  </si>
  <si>
    <t>武汉沄景涵喷泉设备有限公司</t>
  </si>
  <si>
    <t>9142 0107 6888 1588 0D</t>
  </si>
  <si>
    <t>单位地址：武汉市青山区冶金大道65号
电话：13971177028</t>
  </si>
  <si>
    <t>中国银行武汉新江大支行
银行账户：5716795 6738</t>
  </si>
  <si>
    <t>鲁钰仪</t>
  </si>
  <si>
    <t>常熟市祥安织造有限公司</t>
  </si>
  <si>
    <t>9132058133107619XW</t>
  </si>
  <si>
    <t>常熟市海虞镇通江路179号
电话:0512-52170826</t>
  </si>
  <si>
    <t>农行常熟谢桥支行
账 号:10523301040009623</t>
  </si>
  <si>
    <t>王艳玲</t>
  </si>
  <si>
    <t>王倩</t>
  </si>
  <si>
    <t>魏雨尧</t>
  </si>
  <si>
    <t>章杰</t>
  </si>
  <si>
    <t>王捷</t>
  </si>
  <si>
    <t>武汉艺画开天文化传播有限公司</t>
  </si>
  <si>
    <t>914201003334378762</t>
  </si>
  <si>
    <t>李喆</t>
  </si>
  <si>
    <t>深圳市卓文华利电子有限公司</t>
  </si>
  <si>
    <t>91440300MA5HDYBW7T</t>
  </si>
  <si>
    <t>深圳市福田区莲花街道福中社区深南大道 2008中国凤凰大厦2
栋15A</t>
  </si>
  <si>
    <t>交通银行深圳香洲支行
4430 6606 5013 0061 2098 0</t>
  </si>
  <si>
    <t>胡汉桥</t>
  </si>
  <si>
    <t>杨武</t>
  </si>
  <si>
    <t>9142 0112 MA4K LDHP 5M</t>
  </si>
  <si>
    <t>洪山区南李路27号圣爱米伦科研部分G栋1单元1-19层1205号
027-88076668</t>
  </si>
  <si>
    <t>中国农业银行武汉南湖支行 
1703 1101 0400 15736</t>
  </si>
  <si>
    <t>张宇晨
尹辰夏</t>
  </si>
  <si>
    <t>武汉清江建筑装饰工程有限公司</t>
  </si>
  <si>
    <t>914201007646357783</t>
  </si>
  <si>
    <t>地址、电话：武汉市东湖新技术开发区高新六路8号
 027-81303159</t>
  </si>
  <si>
    <t>开户行及帐号：建设银行武汉藏龙岛支行
42001140042052501559</t>
  </si>
  <si>
    <t>徐湘</t>
  </si>
  <si>
    <t>武汉佰钧成技术有限责任公司</t>
  </si>
  <si>
    <t>91420100789324669U</t>
  </si>
  <si>
    <t>张雨婷</t>
  </si>
  <si>
    <t>刘宇霖</t>
  </si>
  <si>
    <t>悦莱（武汉）建筑安装工程有限公司</t>
  </si>
  <si>
    <t>91420112MA4K257B1Y</t>
  </si>
  <si>
    <t>武汉市东西湖区走马岭打靶堤12号1层027-85859566</t>
  </si>
  <si>
    <t>交通银行武汉东西湖支行
421868088018800094077</t>
  </si>
  <si>
    <t>李望</t>
  </si>
  <si>
    <t>湖北省武汉市东湖新技术开发区光谷三路777号移动
终端产业园1号楼4层410、411、412号410-041
电 话：027-59359862</t>
  </si>
  <si>
    <t>刘妍文</t>
  </si>
  <si>
    <t>13986684439</t>
  </si>
  <si>
    <t>湖北省武汉市东湖新技术开发区光谷三路
777号移动终端产业园1号楼4层410、411、412号410-041
电 话：027-59359862</t>
  </si>
  <si>
    <t>陈徐昕</t>
  </si>
  <si>
    <t>武汉金安格印刷技术有限公司</t>
  </si>
  <si>
    <t>91420105672791511J</t>
  </si>
  <si>
    <t>单位地址：武汉市东西湖区走马岭兴工十二路明典工业园C型A区、C区
电话号码：027-87715743</t>
  </si>
  <si>
    <t>开户银行：中国工商银行武汉武珞路支行
开户账号：3202006019200053803</t>
  </si>
  <si>
    <t>王天依</t>
  </si>
  <si>
    <t>武汉拓源物业管理有限公司</t>
  </si>
  <si>
    <t>91420100MA49GDP71M</t>
  </si>
  <si>
    <t>武汉东湖新技术开发区雄庄路曙光星城D区1号楼2层201-2
电话：  13886112001</t>
  </si>
  <si>
    <t>招商银行武汉岳家嘴支行 127913914010401</t>
  </si>
  <si>
    <t>叶立君</t>
  </si>
  <si>
    <t>武汉文希文化传播有限公司</t>
  </si>
  <si>
    <t>91420106MA4F2NX60E</t>
  </si>
  <si>
    <t>赵瑾朝</t>
  </si>
  <si>
    <t>027-82823862</t>
  </si>
  <si>
    <t>彭靖</t>
  </si>
  <si>
    <t>熊明德</t>
  </si>
  <si>
    <t>詹琦龙  詹崧艺</t>
  </si>
  <si>
    <t xml:space="preserve">上海成煦科技有限公司 </t>
  </si>
  <si>
    <t>91310120MA1HYUP94Q</t>
  </si>
  <si>
    <t>湖北省武汉市东湖新技术开发区光谷三路777号移动终端产业园
1号楼4层410、411、412号410-041
电 话：027-59359862</t>
  </si>
  <si>
    <t>李星河</t>
  </si>
  <si>
    <t>湖北省武汉市东湖新技术开发区光谷三路777号移动终端产业园1号楼4层410、411、412号410-041电 话：027-59359862</t>
  </si>
  <si>
    <t>胥靖维</t>
  </si>
  <si>
    <t>武汉中元华电电力设备有限公司</t>
  </si>
  <si>
    <t>9142 0100 6854 31371K</t>
  </si>
  <si>
    <t>刘嘉雯</t>
  </si>
  <si>
    <t>汪牧远  许媛</t>
  </si>
  <si>
    <t>武汉光基科技有限公司</t>
  </si>
  <si>
    <t>91420106MA4F2CXG2N</t>
  </si>
  <si>
    <t xml:space="preserve">邮箱:wangjie71@126.com </t>
  </si>
  <si>
    <t>江思宇
廖春燕</t>
  </si>
  <si>
    <t>15604317537
18974564274</t>
  </si>
  <si>
    <t>湖北省武汉市东湖新技术开发区光谷三路777号移动终端产业园1号楼4层410、411、412号410-041</t>
  </si>
  <si>
    <t>招商银行股份有限公司武汉光谷科技支行
127921008610009</t>
  </si>
  <si>
    <t>方牧云
林安
卢兴运
程旭</t>
  </si>
  <si>
    <t>19968099566
15575739108
13072702018
13896809961</t>
  </si>
  <si>
    <t>广西翔正项目管理有限公司钦州分公司</t>
  </si>
  <si>
    <t>914507035572330392</t>
  </si>
  <si>
    <t>钦州市新华路268号江滨豪园10</t>
  </si>
  <si>
    <t>开户行：中国农业银行股份有限公司钦州新兴支行
    账号：20733501040007396</t>
  </si>
  <si>
    <t xml:space="preserve">地 址：湖北省武汉市东湖新技术开发区光谷三路777号移动终
端产业园1号楼4层410、411、412号410-041
电 话：027-59359862
</t>
  </si>
  <si>
    <t>郝晋旋</t>
  </si>
  <si>
    <t>重庆皖飞电子技术有限公司</t>
  </si>
  <si>
    <t>915001076889409139</t>
  </si>
  <si>
    <t>重庆市九龙坡区渝州路4号21-1号/邮编：400039
电话：023-68140104
传真：023-68140074</t>
  </si>
  <si>
    <t>开户行：重庆工行高科技支行
账号：3100020409200333276
开户行行号（银行代码）：102653000128</t>
  </si>
  <si>
    <t>马徽元</t>
  </si>
  <si>
    <t>张诺皓</t>
  </si>
  <si>
    <t>罗宇航</t>
  </si>
  <si>
    <t>湖北腾聚建设工程有限公司</t>
  </si>
  <si>
    <t>91420281MA4968XB7C</t>
  </si>
  <si>
    <t>大冶市城北开发区上冯路5号2栋四单元501 0714-8767886</t>
  </si>
  <si>
    <t>开 户 账 号：1716520104001158 2
中国农业银行大冶支行营业室（103522116524）</t>
  </si>
  <si>
    <t>邹晓庆</t>
  </si>
  <si>
    <t>方娜</t>
  </si>
  <si>
    <t>李思思</t>
  </si>
  <si>
    <t>武汉市东湖新技术开发区高新六路8号 027-81303159</t>
  </si>
  <si>
    <t>建设银行武汉藏龙岛支行42001140042052501559</t>
  </si>
  <si>
    <t>汪楠</t>
  </si>
  <si>
    <t>李琴</t>
  </si>
  <si>
    <t>张丽 肖博</t>
  </si>
  <si>
    <t>13277063378
18507135880</t>
  </si>
  <si>
    <t>义乌市留屿贸易商行</t>
  </si>
  <si>
    <t>92330782MAC6GU943A</t>
  </si>
  <si>
    <t>浙江省金华市义乌市江东街道九联
地横头43幢1单元402室</t>
  </si>
  <si>
    <t>刘笑彤</t>
  </si>
  <si>
    <t xml:space="preserve">湖北省武汉市东湖新技术开发区光谷三路777号移动终端产业园1号楼4层410、411、412号410-041电 话：027-59359862
</t>
  </si>
  <si>
    <t>向怀诚</t>
  </si>
  <si>
    <t>杨芳芳</t>
  </si>
  <si>
    <t>武汉康成百澳生物科技有限公司</t>
  </si>
  <si>
    <t>91420111MABWG3G97L</t>
  </si>
  <si>
    <t>湖北省武汉东湖新技术开发区南湖大道116号南湖时尚城K5经济型酒店1-16层3层306室</t>
  </si>
  <si>
    <t>中国工商银行武汉民族大道支行
帐号：3202163809060145860</t>
  </si>
  <si>
    <t>黄宸熹</t>
  </si>
  <si>
    <t>毛雯</t>
  </si>
  <si>
    <t>中管辰化石油工程有限公司</t>
  </si>
  <si>
    <t>91420100MA4L0QKYXD</t>
  </si>
  <si>
    <t>武汉东湖新技术开发区武汉大学科技园3S地球空间信息产业基地三区第24#座4层1号、5层1号 电 话：027-87333387</t>
  </si>
  <si>
    <t>中国银行股份有限公司武汉藏龙岛科技支行 账号：5703 7537 1325</t>
  </si>
  <si>
    <t>邓瑶</t>
  </si>
  <si>
    <t>李诗怡</t>
  </si>
  <si>
    <t>胡倩</t>
  </si>
  <si>
    <t>吴春静</t>
  </si>
  <si>
    <t>方轶哲</t>
  </si>
  <si>
    <t>李飞</t>
  </si>
  <si>
    <t>招商银行股份有限公司武汉光谷科技支行
账号：127921008610009</t>
  </si>
  <si>
    <t>淳倩倩</t>
  </si>
  <si>
    <t>蒙瑜</t>
  </si>
  <si>
    <t>赵芊</t>
  </si>
  <si>
    <t>陈曼</t>
  </si>
  <si>
    <t>李燕君</t>
  </si>
  <si>
    <t>王生生</t>
  </si>
  <si>
    <t>王金霞  
吕剑</t>
  </si>
  <si>
    <t>18279281684
15527893147</t>
  </si>
  <si>
    <t>公司名称：薯一薯二文化传媒（武汉）有限公司</t>
  </si>
  <si>
    <t>李维一</t>
  </si>
  <si>
    <t>武汉市仪维力工程技术有限公司</t>
  </si>
  <si>
    <t>91420112MA4KLMCDx3</t>
  </si>
  <si>
    <t>武汉市东西湖区新沟镇荷沙路3号房(14)</t>
  </si>
  <si>
    <t>中国建设银行南湖大道支行
银行账号：142050123704500000023</t>
  </si>
  <si>
    <t>王保民</t>
  </si>
  <si>
    <t>望丹妮</t>
  </si>
  <si>
    <t>黄维</t>
  </si>
  <si>
    <t>刘倩</t>
  </si>
  <si>
    <t>何娴</t>
  </si>
  <si>
    <t>无锡新吴区净慧东道118号1楼 0510-66676999</t>
  </si>
  <si>
    <t>中国工商银行股份有限公司无锡新吴支行</t>
  </si>
  <si>
    <t>严珂</t>
  </si>
  <si>
    <t>吴悦</t>
  </si>
  <si>
    <t>蔡家亮</t>
  </si>
  <si>
    <t>个人</t>
  </si>
  <si>
    <t>王远航</t>
  </si>
  <si>
    <t>郑禹兮</t>
  </si>
  <si>
    <t>武汉灵正科技有限公司</t>
  </si>
  <si>
    <t>91420100MA4K3ECE8G</t>
  </si>
  <si>
    <t>武汉市东湖新技术开发区民族大道水蓝路11号山河.龙洲城6栋5层04号 13098842329</t>
  </si>
  <si>
    <t>招商银行股份有限公司东湖支行127912556910301</t>
  </si>
  <si>
    <t>张雅芯</t>
  </si>
  <si>
    <t>钟毅涛</t>
  </si>
  <si>
    <t>武汉星动商贸有限公司</t>
  </si>
  <si>
    <t>91420100MA4F389P83</t>
  </si>
  <si>
    <t>马贵斋</t>
  </si>
  <si>
    <t>湖北省武汉市东湖新技术开发区光谷三路777号移动终端产业园
1号楼4层410、411、412号410-041</t>
  </si>
  <si>
    <t>陈群</t>
  </si>
  <si>
    <t>段岚凤</t>
  </si>
  <si>
    <t>代淑轮</t>
  </si>
  <si>
    <t>李雅琴</t>
  </si>
  <si>
    <t>李贤程</t>
  </si>
  <si>
    <t>史正燕</t>
  </si>
  <si>
    <t>况丹</t>
  </si>
  <si>
    <t>王湘洁</t>
  </si>
  <si>
    <t>王梦平</t>
  </si>
  <si>
    <t>巴咏梅</t>
  </si>
  <si>
    <t>吴志敏</t>
  </si>
  <si>
    <t>阳阳</t>
  </si>
  <si>
    <t>高若琛</t>
  </si>
  <si>
    <t>武汉枫艾网络科技有限公司</t>
  </si>
  <si>
    <t>91420115MA49NET6XR</t>
  </si>
  <si>
    <t>段宇浩</t>
  </si>
  <si>
    <t>奚宇涵
肖予希
奚锐</t>
  </si>
  <si>
    <t>埃盟特科技（武汉）有限公司</t>
  </si>
  <si>
    <t>91420111MA4KY3TD7B</t>
  </si>
  <si>
    <t>湖北省武汉市武汉经济技术开发区206M地块华中电子商务产业园D3/D5栋1-6层D5室二楼
电话：027-84399198</t>
  </si>
  <si>
    <t>开户银行：招商银行武汉分行开发区支行
开户银行地址：武汉市沌口经济技术开发区创业大道2号
银行账号： 127911531910201
行号信息：308521015209（大额支付行号)</t>
  </si>
  <si>
    <t>王霞</t>
  </si>
  <si>
    <t>武汉捷恩斯实业有限公司</t>
  </si>
  <si>
    <t>91420100MA49E73M7A</t>
  </si>
  <si>
    <t>礼品赠送明细表</t>
  </si>
  <si>
    <t>会员电话</t>
  </si>
  <si>
    <t>办卡金额</t>
  </si>
  <si>
    <t>礼品</t>
  </si>
  <si>
    <t>数量</t>
  </si>
  <si>
    <t>李开来</t>
  </si>
  <si>
    <t>包 水杯</t>
  </si>
  <si>
    <t>胡思闽</t>
  </si>
  <si>
    <t>敖宇鹏</t>
  </si>
  <si>
    <t>苗丰宇</t>
  </si>
  <si>
    <t>李俊杰</t>
  </si>
  <si>
    <t>侯占岭</t>
  </si>
  <si>
    <t>冉再</t>
  </si>
  <si>
    <t>包 水杯 周卡</t>
  </si>
  <si>
    <t>朱贤奇</t>
  </si>
  <si>
    <t>包 水杯 小电锅</t>
  </si>
  <si>
    <t>洪先龙</t>
  </si>
  <si>
    <t>汪岱原</t>
  </si>
  <si>
    <t>鲜于非凡</t>
  </si>
  <si>
    <t>艾圣茗</t>
  </si>
  <si>
    <t>梁栋椋</t>
  </si>
  <si>
    <t>龙焓</t>
  </si>
  <si>
    <t>黄暄然</t>
  </si>
  <si>
    <t>水杯</t>
  </si>
  <si>
    <t>李文俊</t>
  </si>
  <si>
    <t>王慧</t>
  </si>
  <si>
    <t>6.6元现金红包</t>
  </si>
  <si>
    <t>李雅瑄</t>
  </si>
  <si>
    <t>茶具套装</t>
  </si>
  <si>
    <t>王斯琦</t>
  </si>
  <si>
    <t>刘芳</t>
  </si>
  <si>
    <t>卢雅婷</t>
  </si>
  <si>
    <t>刘立敏</t>
  </si>
  <si>
    <t>苑炎隆</t>
  </si>
  <si>
    <t>筋膜枪</t>
  </si>
  <si>
    <t>张廷露</t>
  </si>
  <si>
    <t>张凯薇</t>
  </si>
  <si>
    <t>排插</t>
  </si>
  <si>
    <t>程盈</t>
  </si>
  <si>
    <t>周卡*2</t>
  </si>
  <si>
    <t>田玉</t>
  </si>
  <si>
    <t>热水壶</t>
  </si>
  <si>
    <t>田晓坤</t>
  </si>
  <si>
    <t>霍苑</t>
  </si>
  <si>
    <t>8.8元现金红包</t>
  </si>
  <si>
    <t>孙赟</t>
  </si>
  <si>
    <t>田书耘</t>
  </si>
  <si>
    <t>樊嘉琪</t>
  </si>
  <si>
    <t>周卡*1</t>
  </si>
  <si>
    <t>朱运樱</t>
  </si>
  <si>
    <t>瑜伽垫 水杯</t>
  </si>
  <si>
    <t>胡诗睿</t>
  </si>
  <si>
    <t>刘明</t>
  </si>
  <si>
    <t>马梓晨</t>
  </si>
  <si>
    <t>杯子</t>
  </si>
  <si>
    <t>小美</t>
  </si>
  <si>
    <t>王寅</t>
  </si>
  <si>
    <t>周瑾瑜</t>
  </si>
  <si>
    <t>肖恩博</t>
  </si>
  <si>
    <t>王丽霞</t>
  </si>
  <si>
    <t>毕帆</t>
  </si>
  <si>
    <t>水杯 吹风机</t>
  </si>
  <si>
    <t>李柞霖</t>
  </si>
  <si>
    <t>邓姝涵</t>
  </si>
  <si>
    <t>邓怀鑫</t>
  </si>
  <si>
    <t>乔锦珊</t>
  </si>
  <si>
    <t>Ni99a</t>
  </si>
  <si>
    <t>姚鑫</t>
  </si>
  <si>
    <t>蓝覃波</t>
  </si>
  <si>
    <t>护手霜套装</t>
  </si>
  <si>
    <t>梅龙发</t>
  </si>
  <si>
    <t>舒健</t>
  </si>
  <si>
    <t>陈建华</t>
  </si>
  <si>
    <t>刘哲溥</t>
  </si>
  <si>
    <t>陈希</t>
  </si>
  <si>
    <t>朱雨晨</t>
  </si>
  <si>
    <t>电动牙刷</t>
  </si>
  <si>
    <t>文馨怡</t>
  </si>
  <si>
    <t>弹力带</t>
  </si>
  <si>
    <t>陶可欣</t>
  </si>
  <si>
    <t>赵晓晴</t>
  </si>
  <si>
    <t>瑜伽垫</t>
  </si>
  <si>
    <t>冼静雯</t>
  </si>
  <si>
    <t>辜琼</t>
  </si>
  <si>
    <t>张丹颖</t>
  </si>
  <si>
    <t>班峻瑞</t>
  </si>
  <si>
    <t>蒸蛋器</t>
  </si>
  <si>
    <t>张学龙</t>
  </si>
  <si>
    <t>朱忠权</t>
  </si>
  <si>
    <t>护眼灯</t>
  </si>
  <si>
    <t>梁元起</t>
  </si>
  <si>
    <t>乳胶枕</t>
  </si>
  <si>
    <t>黄弈铭</t>
  </si>
  <si>
    <t>张雯婷</t>
  </si>
  <si>
    <t>茶具套装 包</t>
  </si>
  <si>
    <t>周卡*1 包</t>
  </si>
  <si>
    <t>贾新民</t>
  </si>
  <si>
    <t>马晓敏</t>
  </si>
  <si>
    <t>弹力带 包</t>
  </si>
  <si>
    <t>萧果果</t>
  </si>
  <si>
    <t>小鱼儿</t>
  </si>
  <si>
    <t>张和顺</t>
  </si>
  <si>
    <t>何婧</t>
  </si>
  <si>
    <t>电火锅</t>
  </si>
  <si>
    <t>腾格尔</t>
  </si>
  <si>
    <t>孟庆昊</t>
  </si>
  <si>
    <t>陈倾</t>
  </si>
  <si>
    <t>周卡 电动牙刷</t>
  </si>
  <si>
    <t>王晢煜</t>
  </si>
  <si>
    <t>买钰涵</t>
  </si>
  <si>
    <t>行李箱</t>
  </si>
  <si>
    <t>余先枝</t>
  </si>
  <si>
    <t>小电锅</t>
  </si>
  <si>
    <t>王佳媛</t>
  </si>
  <si>
    <t>李相</t>
  </si>
  <si>
    <t>司楚</t>
  </si>
  <si>
    <t>泡沫轴</t>
  </si>
  <si>
    <t>水杯 包</t>
  </si>
  <si>
    <t>严厚富</t>
  </si>
  <si>
    <t>化妆镜</t>
  </si>
  <si>
    <t>王培赞 李相</t>
  </si>
  <si>
    <t>包*2</t>
  </si>
  <si>
    <t>赵崇英</t>
  </si>
  <si>
    <t>水杯*2</t>
  </si>
  <si>
    <t>包</t>
  </si>
  <si>
    <t>袁夏婷</t>
  </si>
  <si>
    <t>周佳佳</t>
  </si>
  <si>
    <t>黄煜</t>
  </si>
  <si>
    <t>程程</t>
  </si>
  <si>
    <t>包 水杯 瑜伽垫</t>
  </si>
  <si>
    <t>沙玉隆</t>
  </si>
  <si>
    <t>朱厚均</t>
  </si>
  <si>
    <t>马腾中</t>
  </si>
  <si>
    <t>骆永梅</t>
  </si>
  <si>
    <t>许悦</t>
  </si>
  <si>
    <t>滕永嘉</t>
  </si>
  <si>
    <t>程天祺</t>
  </si>
  <si>
    <t>冯娟</t>
  </si>
  <si>
    <t>包*2 水杯*2</t>
  </si>
  <si>
    <t>俞彦辰</t>
  </si>
  <si>
    <t>王宇航</t>
  </si>
  <si>
    <t>华农店</t>
  </si>
  <si>
    <t>包*20</t>
  </si>
  <si>
    <t>毛卫宇</t>
  </si>
  <si>
    <t>蔡显特</t>
  </si>
  <si>
    <t>俞泓宇</t>
  </si>
  <si>
    <t>周浩然</t>
  </si>
  <si>
    <t>姚佳豪</t>
  </si>
  <si>
    <t>包 周卡*4</t>
  </si>
  <si>
    <t>赵劲潮</t>
  </si>
  <si>
    <t>王广俅</t>
  </si>
  <si>
    <t>胡傲一</t>
  </si>
  <si>
    <t>董创</t>
  </si>
  <si>
    <t>董汉雄</t>
  </si>
  <si>
    <t>郭奕威</t>
  </si>
  <si>
    <t>王靓</t>
  </si>
  <si>
    <t>马龙</t>
  </si>
  <si>
    <t>蛋白粉</t>
  </si>
  <si>
    <t>何子涵</t>
  </si>
  <si>
    <t>孙林方</t>
  </si>
  <si>
    <t>小红书活动</t>
  </si>
  <si>
    <t>次卡*200</t>
  </si>
  <si>
    <t>农夫*5箱</t>
  </si>
  <si>
    <t>外星人wave*1箱</t>
  </si>
  <si>
    <t>秦俊蓉</t>
  </si>
  <si>
    <t>刘慧斌</t>
  </si>
  <si>
    <t>吴茂林</t>
  </si>
  <si>
    <t>韩鹏</t>
  </si>
  <si>
    <t>朱**</t>
  </si>
  <si>
    <t>没填</t>
  </si>
  <si>
    <t>王杰</t>
  </si>
  <si>
    <t>黄升栋</t>
  </si>
  <si>
    <t>张润</t>
  </si>
  <si>
    <t>谢盼</t>
  </si>
  <si>
    <t>刘洋</t>
  </si>
  <si>
    <t>段继来</t>
  </si>
  <si>
    <t>郑家乐</t>
  </si>
  <si>
    <t>易婧妧</t>
  </si>
  <si>
    <t>洪志群</t>
  </si>
  <si>
    <t>陶瓷杯</t>
  </si>
  <si>
    <t>林匡正</t>
  </si>
  <si>
    <t>袁琳</t>
  </si>
  <si>
    <t>柏科</t>
  </si>
  <si>
    <t>李兴</t>
  </si>
  <si>
    <t>阿力祖鬼</t>
  </si>
  <si>
    <t>加湿器</t>
  </si>
  <si>
    <t>张豪迈</t>
  </si>
  <si>
    <t>赵逍遥</t>
  </si>
  <si>
    <t>陈弘历</t>
  </si>
  <si>
    <t>韦忠皓</t>
  </si>
  <si>
    <t>谭芷倩</t>
  </si>
  <si>
    <t>王伟龙</t>
  </si>
  <si>
    <t>张云初</t>
  </si>
  <si>
    <t>刘湘庆</t>
  </si>
  <si>
    <t>吴晓璐</t>
  </si>
  <si>
    <t>许浩</t>
  </si>
  <si>
    <t>章宇</t>
  </si>
  <si>
    <t>刘双佳</t>
  </si>
  <si>
    <t>刘双城</t>
  </si>
  <si>
    <t>周帅</t>
  </si>
  <si>
    <t>陈晓萱</t>
  </si>
  <si>
    <t>严博</t>
  </si>
  <si>
    <t>郑小睿</t>
  </si>
  <si>
    <t>王英振</t>
  </si>
  <si>
    <t>刘柳</t>
  </si>
  <si>
    <t>陈张弛</t>
  </si>
  <si>
    <t>朱皖超</t>
  </si>
  <si>
    <t>黄宇翔</t>
  </si>
  <si>
    <t>艾则麦提吾买尔</t>
  </si>
  <si>
    <t>蔡君辉</t>
  </si>
  <si>
    <t>杨明瑞</t>
  </si>
  <si>
    <t>王展颜</t>
  </si>
  <si>
    <t>护眼灯 水杯</t>
  </si>
  <si>
    <t>瑜伽垫 包 杯子</t>
  </si>
  <si>
    <t>吴思庆</t>
  </si>
  <si>
    <t>余威</t>
  </si>
  <si>
    <t>杨家湾店</t>
  </si>
  <si>
    <t>玩具</t>
  </si>
  <si>
    <t>龚程程</t>
  </si>
  <si>
    <t>包，水杯</t>
  </si>
  <si>
    <t>陈文龙</t>
  </si>
  <si>
    <t>体重秤</t>
  </si>
  <si>
    <t>刘清伟</t>
  </si>
  <si>
    <t>充电宝</t>
  </si>
  <si>
    <t>江海洋</t>
  </si>
  <si>
    <t>张澳</t>
  </si>
  <si>
    <t>黄凝馨</t>
  </si>
  <si>
    <t>王柏洋</t>
  </si>
  <si>
    <t>陈先萍</t>
  </si>
  <si>
    <t>桑艳茹</t>
  </si>
  <si>
    <t>枕头</t>
  </si>
  <si>
    <t>吉祥</t>
  </si>
  <si>
    <t>周娴</t>
  </si>
  <si>
    <t>张腾</t>
  </si>
  <si>
    <t>黄肖</t>
  </si>
  <si>
    <t>彭珂</t>
  </si>
  <si>
    <t>张露
郭冲</t>
  </si>
  <si>
    <t>15827567020
17399981341</t>
  </si>
  <si>
    <t>蓝牙耳机 吨吨桶</t>
  </si>
  <si>
    <t>黎明</t>
  </si>
  <si>
    <t>张蓓</t>
  </si>
  <si>
    <t>雨伞</t>
  </si>
  <si>
    <t>郑博</t>
  </si>
  <si>
    <t>镜子</t>
  </si>
  <si>
    <t>赵晨崴</t>
  </si>
  <si>
    <t>耳机包杯子</t>
  </si>
  <si>
    <t>孙华杰</t>
  </si>
  <si>
    <t>包杯子梳子</t>
  </si>
  <si>
    <t>李宪</t>
  </si>
  <si>
    <t>耳机</t>
  </si>
  <si>
    <t>吴问</t>
  </si>
  <si>
    <t>邱晨辉</t>
  </si>
  <si>
    <t>雨伞包杯子</t>
  </si>
  <si>
    <t>温家慧</t>
  </si>
  <si>
    <t>董奕石</t>
  </si>
  <si>
    <t>电风扇</t>
  </si>
  <si>
    <t>董雨桐</t>
  </si>
  <si>
    <t>瑜伽垫包杯子</t>
  </si>
  <si>
    <t>宫徐飞</t>
  </si>
  <si>
    <t>杯子雨伞</t>
  </si>
  <si>
    <t>吴伟垄</t>
  </si>
  <si>
    <t>吨吨桶</t>
  </si>
  <si>
    <t>陈</t>
  </si>
  <si>
    <t>郭蔷</t>
  </si>
  <si>
    <t>养生壶</t>
  </si>
  <si>
    <t>刘逸康</t>
  </si>
  <si>
    <t>宋成耀</t>
  </si>
  <si>
    <t>小电锅 包 小腰包</t>
  </si>
  <si>
    <t>刘牧海</t>
  </si>
  <si>
    <t>杨灏</t>
  </si>
  <si>
    <t>包水杯</t>
  </si>
  <si>
    <t>黄旺</t>
  </si>
  <si>
    <t>蔡想成</t>
  </si>
  <si>
    <t>王蒙</t>
  </si>
  <si>
    <t>王宪斌</t>
  </si>
  <si>
    <t>胡祖伦</t>
  </si>
  <si>
    <t>周宏宇</t>
  </si>
  <si>
    <t>王中祥</t>
  </si>
  <si>
    <t>张弛</t>
  </si>
  <si>
    <t>徐菡之</t>
  </si>
  <si>
    <t>蓝牙耳机</t>
  </si>
  <si>
    <t>刘俊杰</t>
  </si>
  <si>
    <t>梳子</t>
  </si>
  <si>
    <t>迪热扎</t>
  </si>
  <si>
    <t>孙启航</t>
  </si>
  <si>
    <t>尹晗</t>
  </si>
  <si>
    <t>罗鸣阳</t>
  </si>
  <si>
    <t>樊佳怡</t>
  </si>
  <si>
    <t>朱恩瑜</t>
  </si>
  <si>
    <t>包水杯镜子</t>
  </si>
  <si>
    <t>杨敦菡</t>
  </si>
  <si>
    <t>水杯包梳子</t>
  </si>
  <si>
    <t>陈一萌</t>
  </si>
  <si>
    <t>叶钰洋</t>
  </si>
  <si>
    <t>肖思博</t>
  </si>
  <si>
    <t>郑媛媛</t>
  </si>
  <si>
    <t>李筱宛</t>
  </si>
  <si>
    <t>高圆</t>
  </si>
  <si>
    <t>孙珊珊</t>
  </si>
  <si>
    <t>孙超楠</t>
  </si>
  <si>
    <t>水壶</t>
  </si>
  <si>
    <t>喻垚森</t>
  </si>
  <si>
    <t>张宇轴</t>
  </si>
  <si>
    <t>蒋瑾</t>
  </si>
  <si>
    <t>筋膜枪包水杯</t>
  </si>
  <si>
    <t>苏建文</t>
  </si>
  <si>
    <t>丁</t>
  </si>
  <si>
    <t>陈美冰</t>
  </si>
  <si>
    <t>孙无忧</t>
  </si>
  <si>
    <t>王子涵</t>
  </si>
  <si>
    <t>朱家霖</t>
  </si>
  <si>
    <t>蒸锅</t>
  </si>
  <si>
    <t>赵云</t>
  </si>
  <si>
    <t>余天成</t>
  </si>
  <si>
    <t>王熙涵</t>
  </si>
  <si>
    <t>刘婷</t>
  </si>
  <si>
    <t>许勇杰</t>
  </si>
  <si>
    <t>张磊</t>
  </si>
  <si>
    <t>吨吨桶 水杯 包</t>
  </si>
  <si>
    <t>余米如</t>
  </si>
  <si>
    <t>李宁依</t>
  </si>
  <si>
    <t>海潮</t>
  </si>
  <si>
    <t>郭艺聪</t>
  </si>
  <si>
    <t>腰包 水杯 包</t>
  </si>
  <si>
    <t>张金城</t>
  </si>
  <si>
    <t>包 水杯 耳机</t>
  </si>
  <si>
    <t>张九烨</t>
  </si>
  <si>
    <t>健身包</t>
  </si>
  <si>
    <t>张俊杰</t>
  </si>
  <si>
    <t>包 水杯 养生壶</t>
  </si>
  <si>
    <t>吕心怡</t>
  </si>
  <si>
    <t>包 水杯 护眼灯</t>
  </si>
  <si>
    <t>安燕</t>
  </si>
  <si>
    <t>养生壶 泡脚桶</t>
  </si>
  <si>
    <t>顾鉴</t>
  </si>
  <si>
    <t>包 水杯 镜子</t>
  </si>
  <si>
    <t>刘剑龙</t>
  </si>
  <si>
    <t>刘仕达</t>
  </si>
  <si>
    <t>田浩然</t>
  </si>
  <si>
    <t>刘永彪</t>
  </si>
  <si>
    <t>赵永皓</t>
  </si>
  <si>
    <t>养生壶 水杯 包</t>
  </si>
  <si>
    <t>黄子豪</t>
  </si>
  <si>
    <t>体重秤 包 水杯</t>
  </si>
  <si>
    <t>黄怡</t>
  </si>
  <si>
    <t>腰包</t>
  </si>
  <si>
    <t>孙淑怡</t>
  </si>
  <si>
    <t>孙思涵</t>
  </si>
  <si>
    <t>袁怡</t>
  </si>
  <si>
    <t>易戈</t>
  </si>
  <si>
    <t>赵星楠</t>
  </si>
  <si>
    <t>呼啦圈</t>
  </si>
  <si>
    <t>柏翔</t>
  </si>
  <si>
    <t>洪历</t>
  </si>
  <si>
    <t>牙刷</t>
  </si>
  <si>
    <t>张玥杨</t>
  </si>
  <si>
    <t>张鹤元</t>
  </si>
  <si>
    <t>包 杯子</t>
  </si>
  <si>
    <t>叶远图</t>
  </si>
  <si>
    <t>充电宝 水杯 包</t>
  </si>
  <si>
    <t>严朝熙</t>
  </si>
  <si>
    <t>安捷</t>
  </si>
  <si>
    <t>腰包 梳子</t>
  </si>
  <si>
    <t>王娇</t>
  </si>
  <si>
    <t>孙佳东</t>
  </si>
  <si>
    <t>龙炎坤</t>
  </si>
  <si>
    <t>周乃龙</t>
  </si>
  <si>
    <t>吴德馨</t>
  </si>
  <si>
    <t>伞</t>
  </si>
  <si>
    <t>刘财源</t>
  </si>
  <si>
    <t>刘芙蓉</t>
  </si>
  <si>
    <t>瑜伽垫 包 弹力带</t>
  </si>
  <si>
    <t>王语焉</t>
  </si>
  <si>
    <t>刘益静</t>
  </si>
  <si>
    <t>严博睿</t>
  </si>
  <si>
    <t>邵浩浙</t>
  </si>
  <si>
    <t>陈智国</t>
  </si>
  <si>
    <t>樊晏璃</t>
  </si>
  <si>
    <t>肖阳</t>
  </si>
  <si>
    <t>黄梓源</t>
  </si>
  <si>
    <t>唐伟杰</t>
  </si>
  <si>
    <t>小米电饭煲</t>
  </si>
  <si>
    <t>杨欣宇</t>
  </si>
  <si>
    <t>李康</t>
  </si>
  <si>
    <t>闫玮桐</t>
  </si>
  <si>
    <t>张九问</t>
  </si>
  <si>
    <t>李文卿</t>
  </si>
  <si>
    <t>康馨瑶</t>
  </si>
  <si>
    <t>刘能策</t>
  </si>
  <si>
    <t>肖安琪</t>
  </si>
  <si>
    <t>张好</t>
  </si>
  <si>
    <t>曾英伦</t>
  </si>
  <si>
    <t>陈桢蕾</t>
  </si>
  <si>
    <t>周卡</t>
  </si>
  <si>
    <t>安雯</t>
  </si>
  <si>
    <t>向宇</t>
  </si>
  <si>
    <t>胡宁远</t>
  </si>
  <si>
    <t>蒸蛋器 包 水杯</t>
  </si>
  <si>
    <t>朱旭</t>
  </si>
  <si>
    <t>王粤虎</t>
  </si>
  <si>
    <t>樊曹瑜</t>
  </si>
  <si>
    <t>吴培</t>
  </si>
  <si>
    <t>护眼灯 包 水杯</t>
  </si>
  <si>
    <t>杨晨</t>
  </si>
  <si>
    <t>蒲青梅</t>
  </si>
  <si>
    <t>电煮锅</t>
  </si>
  <si>
    <t>纪梦妮</t>
  </si>
  <si>
    <t>谢青青</t>
  </si>
  <si>
    <t>郝席悦</t>
  </si>
  <si>
    <t>胡莎</t>
  </si>
  <si>
    <t>夏天河</t>
  </si>
  <si>
    <t>李元超</t>
  </si>
  <si>
    <t>杨海翔</t>
  </si>
  <si>
    <t>宋明达</t>
  </si>
  <si>
    <t>丹豪洛</t>
  </si>
  <si>
    <t>吨吨桶  包</t>
  </si>
  <si>
    <t>包  杯子</t>
  </si>
  <si>
    <t>方孙</t>
  </si>
  <si>
    <t>席月</t>
  </si>
  <si>
    <t>嫣瑞雨</t>
  </si>
  <si>
    <t>吴浩</t>
  </si>
  <si>
    <t>艳阳钰</t>
  </si>
  <si>
    <t>易赐悦</t>
  </si>
  <si>
    <t>毛巾三件套</t>
  </si>
  <si>
    <t>彭静</t>
  </si>
  <si>
    <t>曾安琪</t>
  </si>
  <si>
    <t>李澍元</t>
  </si>
  <si>
    <t>弹力带  杯子</t>
  </si>
  <si>
    <t>云香</t>
  </si>
  <si>
    <t>车载吸尘器</t>
  </si>
  <si>
    <t>欧阳语桐</t>
  </si>
  <si>
    <t>保温壶</t>
  </si>
  <si>
    <t>翟浩杰</t>
  </si>
  <si>
    <t>张宇庆</t>
  </si>
  <si>
    <t>瑜伽垫  腰包</t>
  </si>
  <si>
    <t>徐郑妍</t>
  </si>
  <si>
    <t>屠迪</t>
  </si>
  <si>
    <t>杨慧轩</t>
  </si>
  <si>
    <t>韩玫珊</t>
  </si>
  <si>
    <t>曹玲玲</t>
  </si>
  <si>
    <t>李晟</t>
  </si>
  <si>
    <t>聂梓桉</t>
  </si>
  <si>
    <t>李嘉恒</t>
  </si>
  <si>
    <t>包 腰包 水杯</t>
  </si>
  <si>
    <t>宫友诚</t>
  </si>
  <si>
    <t>包  电煮锅  水杯</t>
  </si>
  <si>
    <t>王元青</t>
  </si>
  <si>
    <t>田家欣</t>
  </si>
  <si>
    <t>马贵龙</t>
  </si>
  <si>
    <t>王子豪</t>
  </si>
  <si>
    <t>钟浩然</t>
  </si>
  <si>
    <t>沈欣轶</t>
  </si>
  <si>
    <t>王湛钧</t>
  </si>
  <si>
    <t>拉力带</t>
  </si>
  <si>
    <t>程瑞源</t>
  </si>
  <si>
    <t>李炎舜</t>
  </si>
  <si>
    <t>颜盛宝</t>
  </si>
  <si>
    <t>体重秤  吨吨桶</t>
  </si>
  <si>
    <t>赵瑞晨</t>
  </si>
  <si>
    <t>筋膜枪 毛巾三件套</t>
  </si>
  <si>
    <t>马秀梅</t>
  </si>
  <si>
    <t>威宇涵</t>
  </si>
  <si>
    <t>苗雨萱</t>
  </si>
  <si>
    <t>张国新</t>
  </si>
  <si>
    <t>魏成程</t>
  </si>
  <si>
    <t>陈沿析</t>
  </si>
  <si>
    <t>梧菡</t>
  </si>
  <si>
    <t>方方</t>
  </si>
  <si>
    <t>吴元泽</t>
  </si>
  <si>
    <t>毛巾三件套 包 水杯</t>
  </si>
  <si>
    <t>傅炳凯</t>
  </si>
  <si>
    <t>邓润凯</t>
  </si>
  <si>
    <t>刘吴志</t>
  </si>
  <si>
    <t>何凯</t>
  </si>
  <si>
    <t>刘瑞瑶</t>
  </si>
  <si>
    <t>刘美辰</t>
  </si>
  <si>
    <t>谭涛涛</t>
  </si>
  <si>
    <t>杯子套装</t>
  </si>
  <si>
    <t>黄潇良</t>
  </si>
  <si>
    <t>李叶兰</t>
  </si>
  <si>
    <t>毛巾三件套 包</t>
  </si>
  <si>
    <t>马晴</t>
  </si>
  <si>
    <t>王渝</t>
  </si>
  <si>
    <t>付雅茹</t>
  </si>
  <si>
    <t>王睦熙</t>
  </si>
  <si>
    <t>余贝宁</t>
  </si>
  <si>
    <t>邱朋</t>
  </si>
  <si>
    <t>腰包 包 水杯</t>
  </si>
  <si>
    <t>刘东旭</t>
  </si>
  <si>
    <t>筋膜枪 包 水杯</t>
  </si>
  <si>
    <t>符贵扬</t>
  </si>
  <si>
    <t>巴建文</t>
  </si>
  <si>
    <t>苏文龙</t>
  </si>
  <si>
    <t>汪兴遇</t>
  </si>
  <si>
    <t>腰子</t>
  </si>
  <si>
    <t>陈果</t>
  </si>
  <si>
    <t>陈鑫</t>
  </si>
  <si>
    <t>谢宇航</t>
  </si>
  <si>
    <t>叶健瑜</t>
  </si>
  <si>
    <t>买翱天</t>
  </si>
  <si>
    <t>蔡尚朋</t>
  </si>
  <si>
    <t>云霄</t>
  </si>
  <si>
    <t>李程程</t>
  </si>
  <si>
    <t>李源</t>
  </si>
  <si>
    <t>吴辉</t>
  </si>
  <si>
    <t>包 杯子 腰包</t>
  </si>
  <si>
    <t>石浩霖</t>
  </si>
  <si>
    <t>武英杰</t>
  </si>
  <si>
    <t>江娜</t>
  </si>
  <si>
    <t>王卫萌</t>
  </si>
  <si>
    <t>梁田</t>
  </si>
  <si>
    <t>张线平</t>
  </si>
  <si>
    <t>曹洛</t>
  </si>
  <si>
    <t>殷梓原</t>
  </si>
  <si>
    <t>张芷艺</t>
  </si>
  <si>
    <t>周卡 包 水杯</t>
  </si>
  <si>
    <t>王蓉</t>
  </si>
  <si>
    <t>私教体验课</t>
  </si>
  <si>
    <t>张兴蕾</t>
  </si>
  <si>
    <t>袁靓</t>
  </si>
  <si>
    <t>朱林旭</t>
  </si>
  <si>
    <t>严婧</t>
  </si>
  <si>
    <t>董慧琪</t>
  </si>
  <si>
    <t>张芮饶</t>
  </si>
  <si>
    <t>黄金灵</t>
  </si>
  <si>
    <t>沙毛新</t>
  </si>
  <si>
    <t>李朝卿</t>
  </si>
  <si>
    <t>冉小燕</t>
  </si>
  <si>
    <t>电热水壶</t>
  </si>
  <si>
    <t>周禹辰</t>
  </si>
  <si>
    <t>陈双玲</t>
  </si>
  <si>
    <t>孙晓鸿</t>
  </si>
  <si>
    <t>包 杯子 周卡</t>
  </si>
  <si>
    <t>潘彦文</t>
  </si>
  <si>
    <t>向有智</t>
  </si>
  <si>
    <t>包  水杯</t>
  </si>
  <si>
    <t>明展伟</t>
  </si>
  <si>
    <t>阮冰冰</t>
  </si>
  <si>
    <t>包 水杯  瑜伽垫</t>
  </si>
  <si>
    <t>李千希</t>
  </si>
  <si>
    <t>张帆</t>
  </si>
  <si>
    <t>max</t>
  </si>
  <si>
    <t>杨卓森</t>
  </si>
  <si>
    <t>周游</t>
  </si>
  <si>
    <t>王凯峰</t>
  </si>
  <si>
    <t>罗敬浩</t>
  </si>
  <si>
    <t>何家豪</t>
  </si>
  <si>
    <t>危亚龙</t>
  </si>
  <si>
    <t>李小娥</t>
  </si>
  <si>
    <t>张鑫雨</t>
  </si>
  <si>
    <t>彭玲玲</t>
  </si>
  <si>
    <t>宋瀚海</t>
  </si>
  <si>
    <t>胡书源</t>
  </si>
  <si>
    <t>黄艺龙</t>
  </si>
  <si>
    <t>李瑞</t>
  </si>
  <si>
    <t>杨依凡</t>
  </si>
  <si>
    <t>马皓博</t>
  </si>
  <si>
    <t>李祥琪</t>
  </si>
  <si>
    <t>易欣</t>
  </si>
  <si>
    <t>柯予玥</t>
  </si>
  <si>
    <t>侯兴涵</t>
  </si>
  <si>
    <t>董福贵</t>
  </si>
  <si>
    <t>包  水杯 筋膜枪</t>
  </si>
  <si>
    <t>吴谦</t>
  </si>
  <si>
    <t>翁瑞琪</t>
  </si>
  <si>
    <t>苏文健</t>
  </si>
  <si>
    <t>体重秤 筋膜枪</t>
  </si>
  <si>
    <t>马尔志扬</t>
  </si>
  <si>
    <t>靠枕</t>
  </si>
  <si>
    <t>白家琦</t>
  </si>
  <si>
    <t>王雪卿</t>
  </si>
  <si>
    <t>布拉乃</t>
  </si>
  <si>
    <t>宁恩宇</t>
  </si>
  <si>
    <t>daneil</t>
  </si>
  <si>
    <t>曾巧</t>
  </si>
  <si>
    <t>庄恩宇</t>
  </si>
  <si>
    <t>15623378335</t>
  </si>
  <si>
    <t>刘智兰</t>
  </si>
  <si>
    <t>小夜灯</t>
  </si>
  <si>
    <t>白靓雪</t>
  </si>
  <si>
    <t>周煌超</t>
  </si>
  <si>
    <t>廖</t>
  </si>
  <si>
    <t>花文帅</t>
  </si>
  <si>
    <t>翟永乐</t>
  </si>
  <si>
    <t>党蒙</t>
  </si>
  <si>
    <t>牛菱芳</t>
  </si>
  <si>
    <t>陈文畅</t>
  </si>
  <si>
    <t>王月</t>
  </si>
  <si>
    <t>抱枕</t>
  </si>
  <si>
    <t>彭海彬</t>
  </si>
  <si>
    <t>杯子 镜子</t>
  </si>
  <si>
    <t>李焱</t>
  </si>
  <si>
    <t>吨吨桶 杯子</t>
  </si>
  <si>
    <t>陆远琦</t>
  </si>
  <si>
    <t>康山豪</t>
  </si>
  <si>
    <t>林英华</t>
  </si>
  <si>
    <t>毛金瑶</t>
  </si>
  <si>
    <t>兰竺忆</t>
  </si>
  <si>
    <t>李慧</t>
  </si>
  <si>
    <t>王</t>
  </si>
  <si>
    <t>杯子 瑜伽垫</t>
  </si>
  <si>
    <t>雨薇</t>
  </si>
  <si>
    <t>沈</t>
  </si>
  <si>
    <t>林熠星</t>
  </si>
  <si>
    <t>晴雨伞</t>
  </si>
  <si>
    <t>谢怡琳</t>
  </si>
  <si>
    <t>次卡*6</t>
  </si>
  <si>
    <t>文月</t>
  </si>
  <si>
    <t>李青松</t>
  </si>
  <si>
    <t>白晓慧</t>
  </si>
  <si>
    <t>马莉虹</t>
  </si>
  <si>
    <t>烧水壶</t>
  </si>
  <si>
    <t>谌威</t>
  </si>
  <si>
    <t>蒯奕廷</t>
  </si>
  <si>
    <t>姜新诗</t>
  </si>
  <si>
    <t>冉月</t>
  </si>
  <si>
    <t>杨磊</t>
  </si>
  <si>
    <t>镜子 包 水杯</t>
  </si>
  <si>
    <t>唐梦婕</t>
  </si>
  <si>
    <t>何乔</t>
  </si>
  <si>
    <t>何赢</t>
  </si>
  <si>
    <t>盛婧</t>
  </si>
  <si>
    <t>樊谦纬</t>
  </si>
  <si>
    <t>夜灯</t>
  </si>
  <si>
    <t>孟然然</t>
  </si>
  <si>
    <t>刘浩然</t>
  </si>
  <si>
    <t>彭鑫</t>
  </si>
  <si>
    <t>严玮桐</t>
  </si>
  <si>
    <t>夜灯 弹力带</t>
  </si>
  <si>
    <t>聂晟</t>
  </si>
  <si>
    <t>夏文君</t>
  </si>
  <si>
    <t>胡奕阳</t>
  </si>
  <si>
    <t>迪娜拉</t>
  </si>
  <si>
    <t>孟乔</t>
  </si>
  <si>
    <t>王亨</t>
  </si>
  <si>
    <t>卢创宇</t>
  </si>
  <si>
    <t>刘玲丽</t>
  </si>
  <si>
    <t>吴晓维</t>
  </si>
  <si>
    <t>赵润君</t>
  </si>
  <si>
    <t>锅</t>
  </si>
  <si>
    <t>夏琳睿</t>
  </si>
  <si>
    <t>何欣</t>
  </si>
  <si>
    <t>王腱梅</t>
  </si>
  <si>
    <t>烧水壶 镜子 包</t>
  </si>
  <si>
    <t>刘宝畅</t>
  </si>
  <si>
    <t>李宽</t>
  </si>
  <si>
    <t>梁天</t>
  </si>
  <si>
    <t>张莉</t>
  </si>
  <si>
    <t>马莹</t>
  </si>
  <si>
    <t>鲁</t>
  </si>
  <si>
    <t>周卡一卡</t>
  </si>
  <si>
    <t>梁王</t>
  </si>
  <si>
    <t>陈思锦</t>
  </si>
  <si>
    <t>王明</t>
  </si>
  <si>
    <t xml:space="preserve">  包  杯子</t>
  </si>
  <si>
    <t>康雪峰</t>
  </si>
  <si>
    <t>马先生</t>
  </si>
  <si>
    <t>王帅岩</t>
  </si>
  <si>
    <t>熊忠梅</t>
  </si>
  <si>
    <t>电锅</t>
  </si>
  <si>
    <t>刘雅</t>
  </si>
  <si>
    <t>左马</t>
  </si>
  <si>
    <t>韩子琦</t>
  </si>
  <si>
    <t>王丹</t>
  </si>
  <si>
    <t>谭小涵</t>
  </si>
  <si>
    <t>王富涵</t>
  </si>
  <si>
    <t>水杯  包吨吨桶</t>
  </si>
  <si>
    <t>陈雨彤</t>
  </si>
  <si>
    <t>养生壶  弹力带</t>
  </si>
  <si>
    <t>孙梦雅</t>
  </si>
  <si>
    <t>高威</t>
  </si>
  <si>
    <t>刘梓铭</t>
  </si>
  <si>
    <t>杨芬</t>
  </si>
  <si>
    <t>袁艺珊</t>
  </si>
  <si>
    <t>胡杰</t>
  </si>
  <si>
    <t>顾坤强</t>
  </si>
  <si>
    <t>孔德惠</t>
  </si>
  <si>
    <t>王帅</t>
  </si>
  <si>
    <t>周雪琪</t>
  </si>
  <si>
    <t>周  巴</t>
  </si>
  <si>
    <t>宁文文</t>
  </si>
  <si>
    <t>曾德阳</t>
  </si>
  <si>
    <t>戴立浪</t>
  </si>
  <si>
    <t>刘丹彤</t>
  </si>
  <si>
    <t>孙小双</t>
  </si>
  <si>
    <t>范晓娴</t>
  </si>
  <si>
    <t>吕千顺</t>
  </si>
  <si>
    <t>吴芷妍</t>
  </si>
  <si>
    <t>程福</t>
  </si>
  <si>
    <t>张优元</t>
  </si>
  <si>
    <t>玩具车</t>
  </si>
  <si>
    <t>王语源</t>
  </si>
  <si>
    <t>房楠楠</t>
  </si>
  <si>
    <t>陈元泽</t>
  </si>
  <si>
    <t>任孟</t>
  </si>
  <si>
    <t>瑜伽垫 包 水杯</t>
  </si>
  <si>
    <t>覃思源</t>
  </si>
  <si>
    <t>烧水壶 包 水杯</t>
  </si>
  <si>
    <t>罗弋丹</t>
  </si>
  <si>
    <t>周晨曦</t>
  </si>
  <si>
    <t>杯子套装 包 水杯</t>
  </si>
  <si>
    <t>王语涵</t>
  </si>
  <si>
    <t>多杰索南</t>
  </si>
  <si>
    <t>兰秀春</t>
  </si>
  <si>
    <t>赵婉君</t>
  </si>
  <si>
    <t>尹惠敏</t>
  </si>
  <si>
    <t>赵湘楠</t>
  </si>
  <si>
    <t>danlel</t>
  </si>
  <si>
    <t>钱浩东</t>
  </si>
  <si>
    <t>周健</t>
  </si>
  <si>
    <t>段炼</t>
  </si>
  <si>
    <t>姜海波</t>
  </si>
  <si>
    <t>周恒宇</t>
  </si>
  <si>
    <t>程宇</t>
  </si>
  <si>
    <t>张浩然</t>
  </si>
  <si>
    <t>章子冉</t>
  </si>
  <si>
    <t>马文怡</t>
  </si>
  <si>
    <t>段来喜</t>
  </si>
  <si>
    <t>向敏</t>
  </si>
  <si>
    <t>吴倩婷</t>
  </si>
  <si>
    <t>曾珍</t>
  </si>
  <si>
    <t>李娟</t>
  </si>
  <si>
    <t>吕品炜</t>
  </si>
  <si>
    <t>朱华</t>
  </si>
  <si>
    <t>向滕</t>
  </si>
  <si>
    <t>张嘉葆</t>
  </si>
  <si>
    <t>袁澄澄</t>
  </si>
  <si>
    <t>许德培</t>
  </si>
  <si>
    <t>谭昕怡</t>
  </si>
  <si>
    <t>扬更生</t>
  </si>
  <si>
    <t>王文洁</t>
  </si>
  <si>
    <t>金岳奇</t>
  </si>
  <si>
    <t>田震烁</t>
  </si>
  <si>
    <t>李梦巧</t>
  </si>
  <si>
    <t>苏羿恺</t>
  </si>
  <si>
    <t>刘晓萌</t>
  </si>
  <si>
    <t>刘启航</t>
  </si>
  <si>
    <t>蒋欣仪</t>
  </si>
  <si>
    <t>曹安逸</t>
  </si>
  <si>
    <t>朱思瑜</t>
  </si>
  <si>
    <t>梅晨</t>
  </si>
  <si>
    <t>高颖</t>
  </si>
  <si>
    <t>李保军</t>
  </si>
  <si>
    <t>刘景菲</t>
  </si>
  <si>
    <t>刘其琛</t>
  </si>
  <si>
    <t>彭枞</t>
  </si>
  <si>
    <t>孙晋芳</t>
  </si>
  <si>
    <t>莫洁</t>
  </si>
  <si>
    <t>苏日雅</t>
  </si>
  <si>
    <t>刘宇晨</t>
  </si>
  <si>
    <t>羊慧琳</t>
  </si>
  <si>
    <t>吴星怡</t>
  </si>
  <si>
    <t>谌琼巧</t>
  </si>
  <si>
    <t>王晗</t>
  </si>
  <si>
    <t>刘凯博</t>
  </si>
  <si>
    <t>成雪</t>
  </si>
  <si>
    <t>黄志成</t>
  </si>
  <si>
    <t>马福意</t>
  </si>
  <si>
    <t>郑琳熙</t>
  </si>
  <si>
    <t>小腰包</t>
  </si>
  <si>
    <t>冯思威</t>
  </si>
  <si>
    <t>方子奇</t>
  </si>
  <si>
    <t>徐雯婧</t>
  </si>
  <si>
    <t>马云龙</t>
  </si>
  <si>
    <t>胡玮恒</t>
  </si>
  <si>
    <t>别紫锋</t>
  </si>
  <si>
    <t>行李箱 包 水杯</t>
  </si>
  <si>
    <t>马浏原</t>
  </si>
  <si>
    <t>刘芯言</t>
  </si>
  <si>
    <t>杨俊锋</t>
  </si>
  <si>
    <t>陈思睿</t>
  </si>
  <si>
    <t>吨吨桶 包 水杯</t>
  </si>
  <si>
    <t>王汉培</t>
  </si>
  <si>
    <t>翟浩琳</t>
  </si>
  <si>
    <t>孙语轩</t>
  </si>
  <si>
    <t>武佑延</t>
  </si>
  <si>
    <t>李达鑫</t>
  </si>
  <si>
    <t>黄志周</t>
  </si>
  <si>
    <t>樊懿豪</t>
  </si>
  <si>
    <t>彭文哲</t>
  </si>
  <si>
    <t>伊孜哈尔伊米提</t>
  </si>
  <si>
    <t>阿里木江</t>
  </si>
  <si>
    <t>何秉泽</t>
  </si>
  <si>
    <t>赵玉美</t>
  </si>
  <si>
    <t>陈晴好</t>
  </si>
  <si>
    <t>雷航</t>
  </si>
  <si>
    <t>童燕</t>
  </si>
  <si>
    <t>曾捷</t>
  </si>
  <si>
    <t>李双颖</t>
  </si>
  <si>
    <t>胡洪建</t>
  </si>
  <si>
    <t>丁容</t>
  </si>
  <si>
    <t>何庭瑜</t>
  </si>
  <si>
    <t>胡建军</t>
  </si>
  <si>
    <t>刘恒硕</t>
  </si>
  <si>
    <t>陈启琪</t>
  </si>
  <si>
    <t>瑜伽房换新</t>
  </si>
  <si>
    <t>万凌珊</t>
  </si>
  <si>
    <t>刘薇</t>
  </si>
  <si>
    <t>林凯</t>
  </si>
  <si>
    <t>罗灿</t>
  </si>
  <si>
    <t>扈鑫</t>
  </si>
  <si>
    <t>潘思成</t>
  </si>
  <si>
    <t>李轶东</t>
  </si>
  <si>
    <t>单书情</t>
  </si>
  <si>
    <t>黄润平</t>
  </si>
  <si>
    <t>刘意可</t>
  </si>
  <si>
    <t>包 水杯 吨吨桶</t>
  </si>
  <si>
    <t>徐浩然</t>
  </si>
  <si>
    <t>包 水杯 电动牙刷</t>
  </si>
  <si>
    <t>习文</t>
  </si>
  <si>
    <t>赵涵岳</t>
  </si>
  <si>
    <t>刘启恩</t>
  </si>
  <si>
    <t>小汽车</t>
  </si>
  <si>
    <t>田小龙</t>
  </si>
  <si>
    <t>积木</t>
  </si>
  <si>
    <t>肖瞳</t>
  </si>
  <si>
    <t>鼠标垫 包</t>
  </si>
  <si>
    <t>姚茂熙</t>
  </si>
  <si>
    <t>张爽</t>
  </si>
  <si>
    <t>蛋白粉 杯子</t>
  </si>
  <si>
    <t>尹凌杰</t>
  </si>
  <si>
    <t>陈雅娟</t>
  </si>
  <si>
    <t>陈禹浩</t>
  </si>
  <si>
    <t>吴筱莹</t>
  </si>
  <si>
    <t>肖林肖</t>
  </si>
  <si>
    <t>乳胶枕 水杯 包</t>
  </si>
  <si>
    <t>李昌健</t>
  </si>
  <si>
    <t>叶存坤</t>
  </si>
  <si>
    <t>宋奇强</t>
  </si>
  <si>
    <t>张凤希</t>
  </si>
  <si>
    <t>小风扇</t>
  </si>
  <si>
    <t>严辉</t>
  </si>
  <si>
    <t>周文山</t>
  </si>
  <si>
    <t>崇清云</t>
  </si>
  <si>
    <t>电子秤</t>
  </si>
  <si>
    <t>李瑶</t>
  </si>
  <si>
    <t>沈鑫航</t>
  </si>
  <si>
    <t>余鑫</t>
  </si>
  <si>
    <t>汪云峰</t>
  </si>
  <si>
    <t>海翔</t>
  </si>
  <si>
    <t>肖珂嘉</t>
  </si>
  <si>
    <t>张莹</t>
  </si>
  <si>
    <t>王玉琢</t>
  </si>
  <si>
    <t>孙云飞</t>
  </si>
  <si>
    <t>刘伟强</t>
  </si>
  <si>
    <t>变形金刚</t>
  </si>
  <si>
    <t>李莉 
张萌</t>
  </si>
  <si>
    <t>13407148121
15833088717</t>
  </si>
  <si>
    <t>奥特曼玩具</t>
  </si>
  <si>
    <t>田慧慧</t>
  </si>
  <si>
    <t>程科文</t>
  </si>
  <si>
    <t>王恋茹</t>
  </si>
  <si>
    <t>罗雪颖</t>
  </si>
  <si>
    <t>孙博譞</t>
  </si>
  <si>
    <t>罗琳慧</t>
  </si>
  <si>
    <t>玩具雨伞</t>
  </si>
  <si>
    <t>李琳</t>
  </si>
  <si>
    <t>李梅</t>
  </si>
  <si>
    <t>黄亦清</t>
  </si>
  <si>
    <t>陶欣</t>
  </si>
  <si>
    <t>手套</t>
  </si>
  <si>
    <t>徐静怡</t>
  </si>
  <si>
    <t>张佳佳</t>
  </si>
  <si>
    <t>ak47玩具枪</t>
  </si>
  <si>
    <t>吴鑫</t>
  </si>
  <si>
    <t>吴颖婷
章时晴</t>
  </si>
  <si>
    <t>熊节庆</t>
  </si>
  <si>
    <t>陈妍</t>
  </si>
  <si>
    <t>m416玩具枪</t>
  </si>
  <si>
    <t>潘雅囡</t>
  </si>
  <si>
    <t>朱玥玘</t>
  </si>
  <si>
    <t>陈仁婷</t>
  </si>
  <si>
    <t>AWM玩具枪</t>
  </si>
  <si>
    <t>葫芦弟弟</t>
  </si>
  <si>
    <t>运动手套</t>
  </si>
  <si>
    <t>吴娴娴</t>
  </si>
  <si>
    <t>奥特曼玩具 吨吨桶</t>
  </si>
  <si>
    <t>向永红</t>
  </si>
  <si>
    <t>杯子 电热水壶 包</t>
  </si>
  <si>
    <t>马文欣</t>
  </si>
  <si>
    <t>徐麟洲</t>
  </si>
  <si>
    <t>健身包*4</t>
  </si>
  <si>
    <t>赵昭</t>
  </si>
  <si>
    <t>李雯
王贤君
王梓烨
王梓谦</t>
  </si>
  <si>
    <t>13986069521
13808600966</t>
  </si>
  <si>
    <t>亲子卡</t>
  </si>
  <si>
    <t>向娴</t>
  </si>
  <si>
    <t>石太龙</t>
  </si>
  <si>
    <t>陈莉莉</t>
  </si>
  <si>
    <t>刘佳瑀</t>
  </si>
  <si>
    <t>游泳培训班</t>
  </si>
  <si>
    <t>肖沐怡</t>
  </si>
  <si>
    <t>肖君竹</t>
  </si>
  <si>
    <t>李沐冉</t>
  </si>
  <si>
    <t>连若汐</t>
  </si>
  <si>
    <t>魏雨沫</t>
  </si>
  <si>
    <t>魏瑾言</t>
  </si>
  <si>
    <t>陈杨莹</t>
  </si>
  <si>
    <t>徐贵春</t>
  </si>
  <si>
    <t>陈仕俊</t>
  </si>
  <si>
    <t>伍家楠</t>
  </si>
  <si>
    <t>刘振宇</t>
  </si>
  <si>
    <t>罗芬</t>
  </si>
  <si>
    <t>余秀</t>
  </si>
  <si>
    <t>陈李畅</t>
  </si>
  <si>
    <t>肖楚尧</t>
  </si>
  <si>
    <t>项欢欢</t>
  </si>
  <si>
    <t>黄奕文</t>
  </si>
  <si>
    <t>黄静怡</t>
  </si>
  <si>
    <t>许嘉伟</t>
  </si>
  <si>
    <t>张臣诺</t>
  </si>
  <si>
    <t>蔡永健</t>
  </si>
  <si>
    <t>成克敏</t>
  </si>
  <si>
    <t>鼠标垫</t>
  </si>
  <si>
    <t>空气炸锅</t>
  </si>
  <si>
    <t>孙明福</t>
  </si>
  <si>
    <t>潘正凯</t>
  </si>
  <si>
    <t>刘泽洋</t>
  </si>
  <si>
    <t>玩具*2</t>
  </si>
  <si>
    <t>冯泽曦</t>
  </si>
  <si>
    <t>刘乔</t>
  </si>
  <si>
    <t>王博</t>
  </si>
  <si>
    <t>曹晓米</t>
  </si>
  <si>
    <t>张楚梣</t>
  </si>
  <si>
    <t>吴宇坤</t>
  </si>
  <si>
    <t>陈芊语</t>
  </si>
  <si>
    <t>玩具捏捏乐</t>
  </si>
  <si>
    <t>何思好</t>
  </si>
  <si>
    <t>冉靖远</t>
  </si>
  <si>
    <t>谭苏宸</t>
  </si>
  <si>
    <t>何羽墨</t>
  </si>
  <si>
    <t>刘天乐</t>
  </si>
  <si>
    <t>李广</t>
  </si>
  <si>
    <t>张玉哲</t>
  </si>
  <si>
    <t>张宝</t>
  </si>
  <si>
    <t>运动包*10</t>
  </si>
  <si>
    <t>邓思雨</t>
  </si>
  <si>
    <t>黄思远</t>
  </si>
  <si>
    <t>刘江红</t>
  </si>
  <si>
    <t>汤文卓</t>
  </si>
  <si>
    <t>玩具枪</t>
  </si>
  <si>
    <t>胡璇</t>
  </si>
  <si>
    <t>张跃洋</t>
  </si>
  <si>
    <t>聂宇辰</t>
  </si>
  <si>
    <t>魏文达</t>
  </si>
  <si>
    <t>毛巾三件套 玩具</t>
  </si>
  <si>
    <t>王熙晨</t>
  </si>
  <si>
    <t>陈奕乔</t>
  </si>
  <si>
    <t>章弈哲</t>
  </si>
  <si>
    <t>榨汁机</t>
  </si>
  <si>
    <t>布丁</t>
  </si>
  <si>
    <t>张艺佳</t>
  </si>
  <si>
    <t>吴可新</t>
  </si>
  <si>
    <t>玩具 毛巾三件套</t>
  </si>
  <si>
    <t>张圃宁</t>
  </si>
  <si>
    <t>付萍</t>
  </si>
  <si>
    <t>王嘉智</t>
  </si>
  <si>
    <t>吴瑞阳</t>
  </si>
  <si>
    <t>亚森</t>
  </si>
  <si>
    <t>许溢豪</t>
  </si>
  <si>
    <t>马婷婷</t>
  </si>
  <si>
    <t>解压捏捏玩具</t>
  </si>
  <si>
    <t>吨吨桶 榨汁机</t>
  </si>
  <si>
    <t>辛彤</t>
  </si>
  <si>
    <t>胡大明</t>
  </si>
  <si>
    <t>雨伞  杯子</t>
  </si>
  <si>
    <t>盛夏</t>
  </si>
  <si>
    <t>毛巾三件套  体重秤</t>
  </si>
  <si>
    <t>杨翁为</t>
  </si>
  <si>
    <t>曾艺灵</t>
  </si>
  <si>
    <t>刘国凤</t>
  </si>
  <si>
    <t>孙思琦</t>
  </si>
  <si>
    <t>王彦歆</t>
  </si>
  <si>
    <t>张琛</t>
  </si>
  <si>
    <t>陈瑞</t>
  </si>
  <si>
    <t>徐圆</t>
  </si>
  <si>
    <t>张宇辰</t>
  </si>
  <si>
    <t>李志锦</t>
  </si>
  <si>
    <t>刘英岑</t>
  </si>
  <si>
    <t>马圣子</t>
  </si>
  <si>
    <t>王子骞</t>
  </si>
  <si>
    <t>朱文祺</t>
  </si>
  <si>
    <t>张鸣谦</t>
  </si>
  <si>
    <t>雨伞 积木</t>
  </si>
  <si>
    <t>泰斐 王文骁</t>
  </si>
  <si>
    <t>玩具车 体重秤</t>
  </si>
  <si>
    <t>李语诚</t>
  </si>
  <si>
    <t>雨伞 玩具</t>
  </si>
  <si>
    <t>张坤玉</t>
  </si>
  <si>
    <t>杨婉晴</t>
  </si>
  <si>
    <t>孙华远</t>
  </si>
  <si>
    <t>黄明禹</t>
  </si>
  <si>
    <t>刘莎莎</t>
  </si>
  <si>
    <t>梁晶晶</t>
  </si>
  <si>
    <t>刘淑莹</t>
  </si>
  <si>
    <t>唐喆</t>
  </si>
  <si>
    <t>伞*2</t>
  </si>
  <si>
    <t>赵婷</t>
  </si>
  <si>
    <t>包*3 杯子*3</t>
  </si>
  <si>
    <t>曾祥熙</t>
  </si>
  <si>
    <t>贾子瑶</t>
  </si>
  <si>
    <t>魏雪</t>
  </si>
  <si>
    <t>邝秦宇</t>
  </si>
  <si>
    <t>催黎</t>
  </si>
  <si>
    <t>王莎</t>
  </si>
  <si>
    <t>李佩琼</t>
  </si>
  <si>
    <t>188708956994</t>
  </si>
  <si>
    <t>杨露</t>
  </si>
  <si>
    <t>杨胤霄</t>
  </si>
  <si>
    <t>李阳</t>
  </si>
  <si>
    <t>余月杨</t>
  </si>
  <si>
    <t>拿去华农</t>
  </si>
  <si>
    <t>玩具*4</t>
  </si>
  <si>
    <t>谭爱</t>
  </si>
  <si>
    <t>包*2  杯子*2</t>
  </si>
  <si>
    <t>孙沐丹</t>
  </si>
  <si>
    <t>泡泡机</t>
  </si>
  <si>
    <t>卞一洲</t>
  </si>
  <si>
    <t>包 杯子 吨吨桶</t>
  </si>
  <si>
    <t>黄旭</t>
  </si>
  <si>
    <t>瑜伽垫 榨汁机</t>
  </si>
  <si>
    <t>胡</t>
  </si>
  <si>
    <t>胡迎欣</t>
  </si>
  <si>
    <t>秦慧</t>
  </si>
  <si>
    <t>小电锅（下次来拿）</t>
  </si>
  <si>
    <t>李梦</t>
  </si>
  <si>
    <t>毛巾三件套*2</t>
  </si>
  <si>
    <t>廖文清</t>
  </si>
  <si>
    <t>覃梁栓</t>
  </si>
  <si>
    <t>赵颖</t>
  </si>
  <si>
    <t>师明鸣</t>
  </si>
  <si>
    <t>李梦玲</t>
  </si>
  <si>
    <t>曾磊</t>
  </si>
  <si>
    <t>刘月月</t>
  </si>
  <si>
    <t>蒋</t>
  </si>
  <si>
    <t>罗睿彬</t>
  </si>
  <si>
    <t>保温杯</t>
  </si>
  <si>
    <t>欧阳锋</t>
  </si>
  <si>
    <t>余术宝</t>
  </si>
  <si>
    <t>杨敏</t>
  </si>
  <si>
    <t>朱兴昊</t>
  </si>
  <si>
    <t>许景</t>
  </si>
  <si>
    <t>周萍</t>
  </si>
  <si>
    <t>毛巾  杯子</t>
  </si>
  <si>
    <t>胡楚雨</t>
  </si>
  <si>
    <t>游必智</t>
  </si>
  <si>
    <t>苏丹</t>
  </si>
  <si>
    <t>排插  耳机</t>
  </si>
  <si>
    <t>邓亚娟</t>
  </si>
  <si>
    <t>耳机 玩具</t>
  </si>
  <si>
    <t>高岑</t>
  </si>
  <si>
    <t>罗睿 彬</t>
  </si>
  <si>
    <t>雨伞  瑜伽垫</t>
  </si>
  <si>
    <t>王雨</t>
  </si>
  <si>
    <t>雨伞  保温杯</t>
  </si>
  <si>
    <t>卢志慧</t>
  </si>
  <si>
    <t>熊美</t>
  </si>
  <si>
    <t>孟思帆</t>
  </si>
  <si>
    <t>覃磊</t>
  </si>
  <si>
    <t>毛巾  手套  雨伞</t>
  </si>
  <si>
    <t>排插 保温杯</t>
  </si>
  <si>
    <t>邓晨晨</t>
  </si>
  <si>
    <t>彭利明</t>
  </si>
  <si>
    <t>毛巾 排插 包  杯子</t>
  </si>
  <si>
    <t>刘洛伊</t>
  </si>
  <si>
    <t>陈小宋</t>
  </si>
  <si>
    <t>彭子航</t>
  </si>
  <si>
    <t>水杯包</t>
  </si>
  <si>
    <t>林永康</t>
  </si>
  <si>
    <t>黄鑫</t>
  </si>
  <si>
    <t>淳祥东</t>
  </si>
  <si>
    <t>杯子  包</t>
  </si>
  <si>
    <t>冯旭晨</t>
  </si>
  <si>
    <t>朱晓燕</t>
  </si>
  <si>
    <t>大风扇</t>
  </si>
  <si>
    <t>林若</t>
  </si>
  <si>
    <t>杯子 包 瑜伽垫</t>
  </si>
  <si>
    <t>张艳</t>
  </si>
  <si>
    <t>运动包</t>
  </si>
  <si>
    <t>周世航</t>
  </si>
  <si>
    <t>钱珍</t>
  </si>
  <si>
    <t>彭嘉言</t>
  </si>
  <si>
    <t>谢德烨</t>
  </si>
  <si>
    <t>曾卓</t>
  </si>
  <si>
    <t>周浩宇</t>
  </si>
  <si>
    <t>周鸣远</t>
  </si>
  <si>
    <t>张继宏</t>
  </si>
  <si>
    <t>汪思宇</t>
  </si>
  <si>
    <t>水杯  包</t>
  </si>
  <si>
    <t>廖春燕</t>
  </si>
  <si>
    <t>柳茜</t>
  </si>
  <si>
    <t>奥特曼</t>
  </si>
  <si>
    <t>许多 李伟康</t>
  </si>
  <si>
    <t>餐饮券</t>
  </si>
  <si>
    <t>许多</t>
  </si>
  <si>
    <t>李伟康</t>
  </si>
  <si>
    <t>王哲煜</t>
  </si>
  <si>
    <t>叶维露</t>
  </si>
  <si>
    <t>包 杯子 餐饮券20</t>
  </si>
  <si>
    <t>丁琪乐</t>
  </si>
  <si>
    <t>包 杯子 餐饮券</t>
  </si>
  <si>
    <t>罗倩</t>
  </si>
  <si>
    <t>洪思洋</t>
  </si>
  <si>
    <t>彭若兰</t>
  </si>
  <si>
    <t>李欣</t>
  </si>
  <si>
    <t>杨春艳</t>
  </si>
  <si>
    <t>黄成语</t>
  </si>
  <si>
    <t>吴风圻</t>
  </si>
  <si>
    <t>泡面碗</t>
  </si>
  <si>
    <t>周云</t>
  </si>
  <si>
    <t>谭渝婷</t>
  </si>
  <si>
    <t>潘思怡</t>
  </si>
  <si>
    <t>张腾渊</t>
  </si>
  <si>
    <t>筋膜枪*2</t>
  </si>
  <si>
    <t>杜云依</t>
  </si>
  <si>
    <t xml:space="preserve">周紫瑶 </t>
  </si>
  <si>
    <t>汪保平</t>
  </si>
  <si>
    <t>李巷龙</t>
  </si>
  <si>
    <t>卢荟 荆聪</t>
  </si>
  <si>
    <t>雨伞 化妆镜</t>
  </si>
  <si>
    <t>冯娅莉</t>
  </si>
  <si>
    <t>周华</t>
  </si>
  <si>
    <t>刘佳</t>
  </si>
  <si>
    <t>张婉蝶</t>
  </si>
  <si>
    <t>朱逸</t>
  </si>
  <si>
    <t>杨阳</t>
  </si>
  <si>
    <t>郭锦媛</t>
  </si>
  <si>
    <t>殷硕</t>
  </si>
  <si>
    <t>邵将</t>
  </si>
  <si>
    <t>童志贤</t>
  </si>
  <si>
    <t>餐饮券5</t>
  </si>
  <si>
    <t>张婷</t>
  </si>
  <si>
    <t>餐饮券1</t>
  </si>
  <si>
    <t>陈黄延</t>
  </si>
  <si>
    <t>乌柯莱
帕丽威娜</t>
  </si>
  <si>
    <t>13649927227
15871396307</t>
  </si>
  <si>
    <t>包*2 杯子*2 雨伞 瑜伽垫</t>
  </si>
  <si>
    <t>吴佳怡</t>
  </si>
  <si>
    <t>龚瀚霖</t>
  </si>
  <si>
    <t>弹力带 餐饮券2</t>
  </si>
  <si>
    <t>曹嘉辉</t>
  </si>
  <si>
    <t>张怡秦</t>
  </si>
  <si>
    <t>龚璐</t>
  </si>
  <si>
    <t>李思雨</t>
  </si>
  <si>
    <t>小雨</t>
  </si>
  <si>
    <t>包 杯子 筋膜枪</t>
  </si>
  <si>
    <t>王帅强</t>
  </si>
  <si>
    <t>孙立</t>
  </si>
  <si>
    <t>黄诗琪</t>
  </si>
  <si>
    <t>包 瑜伽垫</t>
  </si>
  <si>
    <t>杨越</t>
  </si>
  <si>
    <t>郑竣方</t>
  </si>
  <si>
    <t>陈凯娜</t>
  </si>
  <si>
    <t>刘开阳</t>
  </si>
  <si>
    <t>吴欢</t>
  </si>
  <si>
    <t>周阔</t>
  </si>
  <si>
    <t>张瑞航</t>
  </si>
  <si>
    <t>张坤菊</t>
  </si>
  <si>
    <t>石心睿</t>
  </si>
  <si>
    <t>叶兴礼</t>
  </si>
  <si>
    <t>陈滢</t>
  </si>
  <si>
    <t>徐珂</t>
  </si>
  <si>
    <t>李浩霖</t>
  </si>
  <si>
    <t>何梓嫣</t>
  </si>
  <si>
    <t>何梓萌</t>
  </si>
  <si>
    <t>小台灯</t>
  </si>
  <si>
    <t>曹思盼</t>
  </si>
  <si>
    <t>包 杯子 雨伞</t>
  </si>
  <si>
    <t>李秋漫</t>
  </si>
  <si>
    <t>张菡萏</t>
  </si>
  <si>
    <t>李宗娴</t>
  </si>
  <si>
    <t>孙镇婷</t>
  </si>
  <si>
    <t>白钧铭</t>
  </si>
  <si>
    <t>段运程</t>
  </si>
  <si>
    <t>18593428931</t>
  </si>
  <si>
    <t>田家硕</t>
  </si>
  <si>
    <t>向毅</t>
  </si>
  <si>
    <t>水杯 包 弹力绳</t>
  </si>
  <si>
    <t>黄耳贤</t>
  </si>
  <si>
    <t>李小妹</t>
  </si>
  <si>
    <t>张家宝</t>
  </si>
  <si>
    <t>包面碗</t>
  </si>
  <si>
    <t>李士旋</t>
  </si>
  <si>
    <t>包 筋膜枪</t>
  </si>
  <si>
    <t>包  杯子 瑜伽垫</t>
  </si>
  <si>
    <t>周仪</t>
  </si>
  <si>
    <t>13615884634</t>
  </si>
  <si>
    <t>泡沫轴 餐饮券 次卡</t>
  </si>
  <si>
    <t>邹思宇</t>
  </si>
  <si>
    <t>黄舸轩</t>
  </si>
  <si>
    <t>马子皓</t>
  </si>
  <si>
    <t>廖芷欣</t>
  </si>
  <si>
    <t>王佳瑞</t>
  </si>
  <si>
    <t>郭瑞琳</t>
  </si>
  <si>
    <t>何明明</t>
  </si>
  <si>
    <t>王钰赛</t>
  </si>
  <si>
    <t>汪俊通</t>
  </si>
  <si>
    <t>方玉文</t>
  </si>
  <si>
    <t>王冬悦</t>
  </si>
  <si>
    <t>台灯 杯子 包</t>
  </si>
  <si>
    <t>王克奇</t>
  </si>
  <si>
    <t>瑜伽垫 杯子 包</t>
  </si>
  <si>
    <t>方宏伟</t>
  </si>
  <si>
    <t>张继</t>
  </si>
  <si>
    <t>杨玮霖</t>
  </si>
  <si>
    <t>陈景</t>
  </si>
  <si>
    <t>石程</t>
  </si>
  <si>
    <t>陈政</t>
  </si>
  <si>
    <t>乐乐</t>
  </si>
  <si>
    <t>15927335187</t>
  </si>
  <si>
    <t>朴牧</t>
  </si>
  <si>
    <t>屈冠宇</t>
  </si>
  <si>
    <t>伊德日根</t>
  </si>
  <si>
    <t>唐玥章</t>
  </si>
  <si>
    <t>鲁艺婷</t>
  </si>
  <si>
    <t>陈文娟</t>
  </si>
  <si>
    <t>何轩哲</t>
  </si>
  <si>
    <t>贾莎莎</t>
  </si>
  <si>
    <t>朱庠睿</t>
  </si>
  <si>
    <t>刘熙源</t>
  </si>
  <si>
    <t>嘉成</t>
  </si>
  <si>
    <t>武文博</t>
  </si>
  <si>
    <t>王梦媛</t>
  </si>
  <si>
    <t>王思景</t>
  </si>
  <si>
    <t>李云帆</t>
  </si>
  <si>
    <t>张科</t>
  </si>
  <si>
    <t>谭知乐</t>
  </si>
  <si>
    <t>郑曾元</t>
  </si>
  <si>
    <t>刘紫旋</t>
  </si>
  <si>
    <t>张灿</t>
  </si>
  <si>
    <t>索伦嘎</t>
  </si>
  <si>
    <t>刘慧妮</t>
  </si>
  <si>
    <t>孙逸军</t>
  </si>
  <si>
    <t>周卡*4</t>
  </si>
  <si>
    <t>李楚诗</t>
  </si>
  <si>
    <t>包 杯子*2 泡面碗</t>
  </si>
  <si>
    <t>朱子晗</t>
  </si>
  <si>
    <t>王浩</t>
  </si>
  <si>
    <t>黄延</t>
  </si>
  <si>
    <t>李林健</t>
  </si>
  <si>
    <t>陈俊宇</t>
  </si>
  <si>
    <t>高麦迪</t>
  </si>
  <si>
    <t>陈清</t>
  </si>
  <si>
    <t>吴梓顺</t>
  </si>
  <si>
    <t>水杯1</t>
  </si>
  <si>
    <t>杜帅</t>
  </si>
  <si>
    <t>肖瑞</t>
  </si>
  <si>
    <t>台灯</t>
  </si>
  <si>
    <t>龙海庆</t>
  </si>
  <si>
    <t>石凯枫</t>
  </si>
  <si>
    <t>黄丽彤</t>
  </si>
  <si>
    <t>曾曦颖</t>
  </si>
  <si>
    <t>史绍杉</t>
  </si>
  <si>
    <t>张向阳</t>
  </si>
  <si>
    <t>张幸超</t>
  </si>
  <si>
    <t>李子豪</t>
  </si>
  <si>
    <t>王雅乐</t>
  </si>
  <si>
    <t>体重秤 蓝牙耳机 吨吨桶</t>
  </si>
  <si>
    <t>庹新超</t>
  </si>
  <si>
    <t>何焕珍</t>
  </si>
  <si>
    <t>徐璟雅</t>
  </si>
  <si>
    <t>化妆镜 杯子 包</t>
  </si>
  <si>
    <t>唐从健</t>
  </si>
  <si>
    <t>米玛次仁</t>
  </si>
  <si>
    <t>韦日凯</t>
  </si>
  <si>
    <t>蒲如晨</t>
  </si>
  <si>
    <t xml:space="preserve">雨伞 </t>
  </si>
  <si>
    <t>卢骏龙</t>
  </si>
  <si>
    <t>吴棉顺</t>
  </si>
  <si>
    <t>吊椅</t>
  </si>
  <si>
    <t>马宏杰</t>
  </si>
  <si>
    <t>梁云</t>
  </si>
  <si>
    <t>曹茹涵</t>
  </si>
  <si>
    <t>米娅萱</t>
  </si>
  <si>
    <t>周宇傲</t>
  </si>
  <si>
    <t>姬鸿飞</t>
  </si>
  <si>
    <t>黄俊杰</t>
  </si>
  <si>
    <t>郑梓烽</t>
  </si>
  <si>
    <t>匡中发</t>
  </si>
  <si>
    <t>余柳</t>
  </si>
  <si>
    <t>施政文</t>
  </si>
  <si>
    <t>侯辉鑫</t>
  </si>
  <si>
    <t>阮俊杰</t>
  </si>
  <si>
    <t>聂钱</t>
  </si>
  <si>
    <t>小腰包1</t>
  </si>
  <si>
    <t>马超翔</t>
  </si>
  <si>
    <t>收纳箱 包 杯子</t>
  </si>
  <si>
    <t>何勇留</t>
  </si>
  <si>
    <t>高雯</t>
  </si>
  <si>
    <t>双饮杯</t>
  </si>
  <si>
    <t>李紫阳</t>
  </si>
  <si>
    <t>王浩宇</t>
  </si>
  <si>
    <t>刘思宁</t>
  </si>
  <si>
    <t>蔡灿武</t>
  </si>
  <si>
    <t>毛娜</t>
  </si>
  <si>
    <t>梁君靖</t>
  </si>
  <si>
    <t>胡懿丹</t>
  </si>
  <si>
    <t>罗佳欣</t>
  </si>
  <si>
    <t>杨小雨</t>
  </si>
  <si>
    <t>段岚风</t>
  </si>
  <si>
    <t>孟艳云</t>
  </si>
  <si>
    <t>李柏宇</t>
  </si>
  <si>
    <t>罗媚</t>
  </si>
  <si>
    <t>收纳箱</t>
  </si>
  <si>
    <t>龙昌汝</t>
  </si>
  <si>
    <t>张子豪</t>
  </si>
  <si>
    <t>王依</t>
  </si>
  <si>
    <t>刘玫</t>
  </si>
  <si>
    <t>杨雅惠</t>
  </si>
  <si>
    <t>曹思睿</t>
  </si>
  <si>
    <t>程戈</t>
  </si>
  <si>
    <t>胡宏用</t>
  </si>
  <si>
    <t>陆水</t>
  </si>
  <si>
    <t>叶俊成
厉剑锋</t>
  </si>
  <si>
    <t>15727273766
17386129810</t>
  </si>
  <si>
    <t>雨伞*2</t>
  </si>
  <si>
    <t>步其润</t>
  </si>
  <si>
    <t xml:space="preserve">  小腰包  包 杯子</t>
  </si>
  <si>
    <t>袁仟豪</t>
  </si>
  <si>
    <t>收纳箱  包 杯子</t>
  </si>
  <si>
    <t>王耀
夏念</t>
  </si>
  <si>
    <t>13709801702
18471794276</t>
  </si>
  <si>
    <t>化妆镜  包 杯子</t>
  </si>
  <si>
    <t>马雨涌</t>
  </si>
  <si>
    <t>体重秤  包  杯子</t>
  </si>
  <si>
    <t>胡林雨</t>
  </si>
  <si>
    <t>赵宣琦</t>
  </si>
  <si>
    <t>小电锅 包 杯子</t>
  </si>
  <si>
    <t>王仁杰</t>
  </si>
  <si>
    <t>弹力带  杯子 包</t>
  </si>
  <si>
    <t>杨炜</t>
  </si>
  <si>
    <t>彭章烁</t>
  </si>
  <si>
    <t>董文范</t>
  </si>
  <si>
    <t xml:space="preserve">弹力带  包 </t>
  </si>
  <si>
    <t>刘雅雯</t>
  </si>
  <si>
    <t>双饮杯  包  杯子</t>
  </si>
  <si>
    <t>樊语婷</t>
  </si>
  <si>
    <t>小台灯  包  杯子</t>
  </si>
  <si>
    <t>汪睿</t>
  </si>
  <si>
    <t>瑜伽垫  水杯</t>
  </si>
  <si>
    <t xml:space="preserve">陈玉铃
李雪怡
</t>
  </si>
  <si>
    <t>17786744865
15283223784</t>
  </si>
  <si>
    <t>筋膜枪  水杯</t>
  </si>
  <si>
    <t>蔡冰冰</t>
  </si>
  <si>
    <t>包  雨伞</t>
  </si>
  <si>
    <t>李文卓</t>
  </si>
  <si>
    <t>师朋鸣</t>
  </si>
  <si>
    <t>曹梦钰
赵雪儿</t>
  </si>
  <si>
    <t>13526534710
13298326162</t>
  </si>
  <si>
    <t>台灯 体重秤</t>
  </si>
  <si>
    <t>王梦鑫</t>
  </si>
  <si>
    <t>王果</t>
  </si>
  <si>
    <t>阮小玲</t>
  </si>
  <si>
    <t>周景晨</t>
  </si>
  <si>
    <t>包 水杯 弹力带</t>
  </si>
  <si>
    <t>李蔓</t>
  </si>
  <si>
    <t>张评</t>
  </si>
  <si>
    <t>熊志豪</t>
  </si>
  <si>
    <t>董春兴</t>
  </si>
  <si>
    <t>任丹阳</t>
  </si>
  <si>
    <t>张选华</t>
  </si>
  <si>
    <t>王晓糖</t>
  </si>
  <si>
    <t>侯静涵</t>
  </si>
  <si>
    <t>雷惠骁</t>
  </si>
  <si>
    <t>胡明利</t>
  </si>
  <si>
    <t>红月</t>
  </si>
  <si>
    <t>王古遂</t>
  </si>
  <si>
    <t>陈赓</t>
  </si>
  <si>
    <t>马亚博</t>
  </si>
  <si>
    <t>熊逸凡</t>
  </si>
  <si>
    <t>王钦鹤</t>
  </si>
  <si>
    <t>彭白</t>
  </si>
  <si>
    <t>杨丽</t>
  </si>
  <si>
    <t>陈帅吉</t>
  </si>
  <si>
    <t>张名</t>
  </si>
  <si>
    <t>陈乐</t>
  </si>
  <si>
    <t>黄蓉</t>
  </si>
  <si>
    <t>17527555813</t>
  </si>
  <si>
    <t>赵柳何</t>
  </si>
  <si>
    <t>谈立奥</t>
  </si>
  <si>
    <t>杨羽婷</t>
  </si>
  <si>
    <t>周子轶</t>
  </si>
  <si>
    <t>张景涛</t>
  </si>
  <si>
    <t>李车芳</t>
  </si>
  <si>
    <t>陈嘉逸</t>
  </si>
  <si>
    <t>曾洋洋</t>
  </si>
  <si>
    <t>夏晶晶</t>
  </si>
  <si>
    <t>黄富强</t>
  </si>
  <si>
    <t>杜先生</t>
  </si>
  <si>
    <t>马丽慧</t>
  </si>
  <si>
    <t>李怡冰</t>
  </si>
  <si>
    <t>涂菲菲</t>
  </si>
  <si>
    <t>代学芝</t>
  </si>
  <si>
    <t>吴钰凯</t>
  </si>
  <si>
    <t>龚如意</t>
  </si>
  <si>
    <t>李衡</t>
  </si>
  <si>
    <t>李唯一</t>
  </si>
  <si>
    <t>前台</t>
  </si>
  <si>
    <t>损坏</t>
  </si>
  <si>
    <t>梧涵</t>
  </si>
  <si>
    <t>田静怡</t>
  </si>
  <si>
    <t>于佳硕</t>
  </si>
  <si>
    <t>罗涛</t>
  </si>
  <si>
    <t>王子杰</t>
  </si>
  <si>
    <t>程克敏</t>
  </si>
  <si>
    <t>徐珊珊</t>
  </si>
  <si>
    <t>司睿</t>
  </si>
  <si>
    <t>丁文一</t>
  </si>
  <si>
    <t>王紫涵</t>
  </si>
  <si>
    <t>伍能鑫</t>
  </si>
  <si>
    <t>凌飞扬</t>
  </si>
  <si>
    <t>徐久懿</t>
  </si>
  <si>
    <t>李鑫阳</t>
  </si>
  <si>
    <t>蒋 红</t>
  </si>
  <si>
    <t>蒋小雪</t>
  </si>
  <si>
    <t>曾月</t>
  </si>
  <si>
    <t>李心怡</t>
  </si>
  <si>
    <t>李琼</t>
  </si>
  <si>
    <t>李亮</t>
  </si>
  <si>
    <t>徐雯庄</t>
  </si>
  <si>
    <t>宋传洁</t>
  </si>
  <si>
    <t>蒋延佳</t>
  </si>
  <si>
    <t>刘传豪</t>
  </si>
  <si>
    <t>水杯 包 弹力带</t>
  </si>
  <si>
    <t>熊冉阳</t>
  </si>
  <si>
    <t>水杯  包  瑜伽垫</t>
  </si>
  <si>
    <t>李睿婧</t>
  </si>
  <si>
    <t>楚青云</t>
  </si>
  <si>
    <t>张昕</t>
  </si>
  <si>
    <t>陈玉玲</t>
  </si>
  <si>
    <t>水杯  包 瑜伽垫</t>
  </si>
  <si>
    <t>任珂萱</t>
  </si>
  <si>
    <t>张煜茹</t>
  </si>
  <si>
    <t>叶嘉嘉</t>
  </si>
  <si>
    <t>汪珊</t>
  </si>
  <si>
    <t>柯言龙</t>
  </si>
  <si>
    <t>潘祎凡</t>
  </si>
  <si>
    <t>瑜伽殿</t>
  </si>
  <si>
    <t>吴昊</t>
  </si>
  <si>
    <t>叶扈萱</t>
  </si>
  <si>
    <t>杨思怡</t>
  </si>
  <si>
    <t>何奕文</t>
  </si>
  <si>
    <t>聂欣萍</t>
  </si>
  <si>
    <t>贺如意</t>
  </si>
  <si>
    <t>邓亚玲</t>
  </si>
  <si>
    <t>何可可</t>
  </si>
  <si>
    <t>张大民</t>
  </si>
  <si>
    <t>宿舍吊椅 杯子</t>
  </si>
  <si>
    <t>杨黎</t>
  </si>
  <si>
    <t>张喜</t>
  </si>
  <si>
    <t>杨艺薇</t>
  </si>
  <si>
    <t>徐倩</t>
  </si>
  <si>
    <t>李梦婷</t>
  </si>
  <si>
    <t>董淑槿</t>
  </si>
  <si>
    <t>弹力带  水杯</t>
  </si>
  <si>
    <t>孙博伦</t>
  </si>
  <si>
    <t>水杯  摇摇杯</t>
  </si>
  <si>
    <t>李昊轩</t>
  </si>
  <si>
    <t>李保博</t>
  </si>
  <si>
    <t>佘欣怡</t>
  </si>
  <si>
    <t>金冯逸</t>
  </si>
  <si>
    <t>赵奇奇</t>
  </si>
  <si>
    <t>阳雅博</t>
  </si>
  <si>
    <t>凌敏</t>
  </si>
  <si>
    <t>宁容冰</t>
  </si>
  <si>
    <t>雨伞  水杯</t>
  </si>
  <si>
    <t>谢迪森</t>
  </si>
  <si>
    <t>李志鹏</t>
  </si>
  <si>
    <t>田融政</t>
  </si>
  <si>
    <t>李诺诗</t>
  </si>
  <si>
    <t>金丽坤</t>
  </si>
  <si>
    <t>杨汉章</t>
  </si>
  <si>
    <t>铁鑫棋</t>
  </si>
  <si>
    <t>马欣</t>
  </si>
  <si>
    <t>董浩然</t>
  </si>
  <si>
    <t>杨雪</t>
  </si>
  <si>
    <t>梦瑶</t>
  </si>
  <si>
    <t>王逸帆</t>
  </si>
  <si>
    <t>姚雨含</t>
  </si>
  <si>
    <t>岳慧勤</t>
  </si>
  <si>
    <t>毛远卓</t>
  </si>
  <si>
    <t>董品博</t>
  </si>
  <si>
    <t>刘尚吉</t>
  </si>
  <si>
    <t>丁佳静</t>
  </si>
  <si>
    <t>张自豪</t>
  </si>
  <si>
    <t>何阳凡</t>
  </si>
  <si>
    <t>吴纯光</t>
  </si>
  <si>
    <t>杨诗琦</t>
  </si>
  <si>
    <t>胡桢</t>
  </si>
  <si>
    <t>代颖</t>
  </si>
  <si>
    <t>牛玥</t>
  </si>
  <si>
    <t>宋金娇</t>
  </si>
  <si>
    <t>安舒凡</t>
  </si>
  <si>
    <t>吕沛翼</t>
  </si>
  <si>
    <t>曹垚锌</t>
  </si>
  <si>
    <t>印天怡</t>
  </si>
  <si>
    <t>邓尚达</t>
  </si>
  <si>
    <t>夏提</t>
  </si>
  <si>
    <t>王珊芷</t>
  </si>
  <si>
    <t>宋丹燕</t>
  </si>
  <si>
    <t>肖禹溪</t>
  </si>
  <si>
    <t>邱崟</t>
  </si>
  <si>
    <t>唐鲁卓</t>
  </si>
  <si>
    <t>李好</t>
  </si>
  <si>
    <t>宇文泽豫</t>
  </si>
  <si>
    <t>吴其润</t>
  </si>
  <si>
    <t>张明帅</t>
  </si>
  <si>
    <t>樊绍宇</t>
  </si>
  <si>
    <t>郝晋璇</t>
  </si>
  <si>
    <t>左晨曦</t>
  </si>
  <si>
    <t>刘津毅</t>
  </si>
  <si>
    <t>许干</t>
  </si>
  <si>
    <t>胡广轩</t>
  </si>
  <si>
    <t>蔡肇权</t>
  </si>
  <si>
    <t>于震</t>
  </si>
  <si>
    <t>王泽韪</t>
  </si>
  <si>
    <t>吨吨桶 运动包</t>
  </si>
  <si>
    <t>万微</t>
  </si>
  <si>
    <t>刘昌林</t>
  </si>
  <si>
    <t>罗文翰</t>
  </si>
  <si>
    <t>李柯辉</t>
  </si>
  <si>
    <t>张佳敏</t>
  </si>
  <si>
    <t>高光辉</t>
  </si>
  <si>
    <t>范创</t>
  </si>
  <si>
    <t>于明霞</t>
  </si>
  <si>
    <t>泡脚桶</t>
  </si>
  <si>
    <t>戴凡博</t>
  </si>
  <si>
    <t>包 水杯  碗</t>
  </si>
  <si>
    <t>王若桐</t>
  </si>
  <si>
    <t>林安</t>
  </si>
  <si>
    <t>卢兴运</t>
  </si>
  <si>
    <t>程旭</t>
  </si>
  <si>
    <t>王唯娓</t>
  </si>
  <si>
    <t>方牧云</t>
  </si>
  <si>
    <t>杨国宝</t>
  </si>
  <si>
    <t>吕自龙</t>
  </si>
  <si>
    <t>吾什很·杰恩思汗</t>
  </si>
  <si>
    <t>朱洛义</t>
  </si>
  <si>
    <t>马微元</t>
  </si>
  <si>
    <t>张晓玲</t>
  </si>
  <si>
    <t>邓欣怡</t>
  </si>
  <si>
    <t>白玉</t>
  </si>
  <si>
    <t>白玉
马晶梅
马静雯</t>
  </si>
  <si>
    <t>19989417191
18097127609
15500628031</t>
  </si>
  <si>
    <t>包 水杯*3</t>
  </si>
  <si>
    <t>杨晓芳</t>
  </si>
  <si>
    <t>曹颖</t>
  </si>
  <si>
    <t>黎宇涵</t>
  </si>
  <si>
    <t>黄世奇</t>
  </si>
  <si>
    <t>向华</t>
  </si>
  <si>
    <t>彭俊豪</t>
  </si>
  <si>
    <t>刘博文</t>
  </si>
  <si>
    <t>柯镇航</t>
  </si>
  <si>
    <t>潘龙一</t>
  </si>
  <si>
    <t>姜玟守</t>
  </si>
  <si>
    <t>陈韦廷</t>
  </si>
  <si>
    <t>陈仕坤</t>
  </si>
  <si>
    <t>王悦文</t>
  </si>
  <si>
    <t>刘宇喆</t>
  </si>
  <si>
    <t>胡博文</t>
  </si>
  <si>
    <t>崔展豪</t>
  </si>
  <si>
    <t>富豪杰</t>
  </si>
  <si>
    <t>杨瑞</t>
  </si>
  <si>
    <t>何永霖</t>
  </si>
  <si>
    <t>18971343394</t>
  </si>
  <si>
    <t>胡涛</t>
  </si>
  <si>
    <t>金子涵</t>
  </si>
  <si>
    <t>徐馨宁</t>
  </si>
  <si>
    <t>谢建玄</t>
  </si>
  <si>
    <t>谷垵亿</t>
  </si>
  <si>
    <t>周洁</t>
  </si>
  <si>
    <t>刘合芳</t>
  </si>
  <si>
    <t>王嵩皓</t>
  </si>
  <si>
    <t>邹荣怡</t>
  </si>
  <si>
    <t>罗悦</t>
  </si>
  <si>
    <t>李金娇</t>
  </si>
  <si>
    <t>周文雯</t>
  </si>
  <si>
    <t>邹奕璁</t>
  </si>
  <si>
    <t>陈希伦</t>
  </si>
  <si>
    <t>陈泳顺</t>
  </si>
  <si>
    <t>余文择</t>
  </si>
  <si>
    <t>张明明</t>
  </si>
  <si>
    <t>杨再镒</t>
  </si>
  <si>
    <t>黄钰熙</t>
  </si>
  <si>
    <t>佘曼俐</t>
  </si>
  <si>
    <t>陈俊霖</t>
  </si>
  <si>
    <t>廖乃慷</t>
  </si>
  <si>
    <t>曹祥超</t>
  </si>
  <si>
    <t>王咏涵</t>
  </si>
  <si>
    <t>王思泽</t>
  </si>
  <si>
    <t>程珊</t>
  </si>
  <si>
    <t>步琪祺</t>
  </si>
  <si>
    <t>王涵玉</t>
  </si>
  <si>
    <t>李梦晓</t>
  </si>
  <si>
    <t>张欣雨</t>
  </si>
  <si>
    <t>高祎珂</t>
  </si>
  <si>
    <t>蓝金龙</t>
  </si>
  <si>
    <t>祝创</t>
  </si>
  <si>
    <t>鞠恺泽</t>
  </si>
  <si>
    <t>王哲</t>
  </si>
  <si>
    <t>场地会员用</t>
  </si>
  <si>
    <t>杨朵</t>
  </si>
  <si>
    <t>王芳</t>
  </si>
  <si>
    <t>徐孝珂</t>
  </si>
  <si>
    <t>崔友奕</t>
  </si>
  <si>
    <t>徐杏</t>
  </si>
  <si>
    <t>范莹</t>
  </si>
  <si>
    <t>章千慧</t>
  </si>
  <si>
    <t>郭浩</t>
  </si>
  <si>
    <t>何泓霆</t>
  </si>
  <si>
    <t>韩欣彤</t>
  </si>
  <si>
    <t>黄俊宇</t>
  </si>
  <si>
    <t>黑牛</t>
  </si>
  <si>
    <t>王文婷</t>
  </si>
  <si>
    <t>侯佳岑</t>
  </si>
  <si>
    <t>陈育彤</t>
  </si>
  <si>
    <t>闫明磊</t>
  </si>
  <si>
    <t>闫吴羽</t>
  </si>
  <si>
    <t>186279705]3</t>
  </si>
  <si>
    <t>李莎</t>
  </si>
  <si>
    <t>张茹嫣</t>
  </si>
  <si>
    <t>海璐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</si>
  <si>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</si>
  <si>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佳飞</t>
  </si>
  <si>
    <t>邓哲为</t>
  </si>
  <si>
    <t>周子涵</t>
  </si>
  <si>
    <t>毛丽玲</t>
  </si>
  <si>
    <t>马嬿婷</t>
  </si>
  <si>
    <t>李昕</t>
  </si>
  <si>
    <t>吴欣宇</t>
  </si>
  <si>
    <t xml:space="preserve">                           </t>
  </si>
  <si>
    <t>吴继娟</t>
  </si>
  <si>
    <t>曾佳佳</t>
  </si>
  <si>
    <t>李先玉</t>
  </si>
  <si>
    <t>张佩璇</t>
  </si>
  <si>
    <t>于鑫淼</t>
  </si>
  <si>
    <t>周俊杰</t>
  </si>
  <si>
    <t>柳国栋</t>
  </si>
  <si>
    <t>彭思源</t>
  </si>
  <si>
    <t>李樊</t>
  </si>
  <si>
    <t>陈苗苗</t>
  </si>
  <si>
    <t>包 水杯 10张餐券</t>
  </si>
  <si>
    <t>郭子琨</t>
  </si>
  <si>
    <t>江灭</t>
  </si>
  <si>
    <t>余友支</t>
  </si>
  <si>
    <t>宋玲华</t>
  </si>
  <si>
    <t>李佳优</t>
  </si>
  <si>
    <t>王索凡</t>
  </si>
  <si>
    <t>罗菲依</t>
  </si>
  <si>
    <t>孙沛香</t>
  </si>
  <si>
    <t>徐可</t>
  </si>
  <si>
    <t>王历予</t>
  </si>
  <si>
    <t>刘蕾</t>
  </si>
  <si>
    <t>郭鑫鑫</t>
  </si>
  <si>
    <t>何光玉</t>
  </si>
  <si>
    <t>伍健强</t>
  </si>
  <si>
    <t>冯浩雄</t>
  </si>
  <si>
    <t>陈云涛</t>
  </si>
  <si>
    <t>100元卡</t>
  </si>
  <si>
    <t>郭茜</t>
  </si>
  <si>
    <t>李江博</t>
  </si>
  <si>
    <t>张雨晴</t>
  </si>
  <si>
    <t>垫子</t>
  </si>
  <si>
    <t>安锋</t>
  </si>
  <si>
    <t>垫子 包*2  杯子*2</t>
  </si>
  <si>
    <t>黄新森</t>
  </si>
  <si>
    <t>100元券</t>
  </si>
  <si>
    <t>王薇</t>
  </si>
  <si>
    <t>张丽</t>
  </si>
  <si>
    <t>肖博</t>
  </si>
  <si>
    <t>吕志航</t>
  </si>
  <si>
    <t>胡信雨</t>
  </si>
  <si>
    <t>曾宇</t>
  </si>
  <si>
    <t>付俊杰</t>
  </si>
  <si>
    <t>郭雄义</t>
  </si>
  <si>
    <t>杯子 包</t>
  </si>
  <si>
    <t>张乐涛</t>
  </si>
  <si>
    <t>梁彬彬</t>
  </si>
  <si>
    <t>小桃</t>
  </si>
  <si>
    <t>马宁霞</t>
  </si>
  <si>
    <t>张娟</t>
  </si>
  <si>
    <t>卡燕</t>
  </si>
  <si>
    <t>王子航</t>
  </si>
  <si>
    <t>伍传业</t>
  </si>
  <si>
    <t>叶涛</t>
  </si>
  <si>
    <t>秦成雨</t>
  </si>
  <si>
    <t>朱田明皓</t>
  </si>
  <si>
    <t>刘旭</t>
  </si>
  <si>
    <t>陈劲松</t>
  </si>
  <si>
    <t>查少杰</t>
  </si>
  <si>
    <t>谢锋</t>
  </si>
  <si>
    <t>朱凤林</t>
  </si>
  <si>
    <t>丁除夕</t>
  </si>
  <si>
    <t>高朝</t>
  </si>
  <si>
    <t>刘欣</t>
  </si>
  <si>
    <t>赵硕</t>
  </si>
  <si>
    <t>周蕊</t>
  </si>
  <si>
    <t>沈彦成</t>
  </si>
  <si>
    <t>李伟</t>
  </si>
  <si>
    <t>李佳玲</t>
  </si>
  <si>
    <t>取暖器</t>
  </si>
  <si>
    <t>肖雅琪</t>
  </si>
  <si>
    <t>陈康飞</t>
  </si>
  <si>
    <t>韩延发</t>
  </si>
  <si>
    <t>杨坤武</t>
  </si>
  <si>
    <t>鲜于杰</t>
  </si>
  <si>
    <t>白滕</t>
  </si>
  <si>
    <t>谢媛媛</t>
  </si>
  <si>
    <t>李崇阳</t>
  </si>
  <si>
    <t>刘紫怡
代思
何心如</t>
  </si>
  <si>
    <t>13886886259
18186143927
13227355416</t>
  </si>
  <si>
    <t>水杯*3 包*3</t>
  </si>
  <si>
    <t>青草</t>
  </si>
  <si>
    <t>程世豪</t>
  </si>
  <si>
    <t>黄凯轩</t>
  </si>
  <si>
    <t>刘郅聪</t>
  </si>
  <si>
    <t>陈苗
李玉洁</t>
  </si>
  <si>
    <t>17764019772
17670974169</t>
  </si>
  <si>
    <t>水杯*2 包*2</t>
  </si>
  <si>
    <t>杜芯锐
刘玉香
柏紫烟</t>
  </si>
  <si>
    <t>15907289301
13997609342
19571605075</t>
  </si>
  <si>
    <t>张巾琪</t>
  </si>
  <si>
    <t>段远程</t>
  </si>
  <si>
    <t>陈智新</t>
  </si>
  <si>
    <t>许斯涵</t>
  </si>
  <si>
    <t>姜珊</t>
  </si>
  <si>
    <t>黄欣婷</t>
  </si>
  <si>
    <t>韩婷婷</t>
  </si>
  <si>
    <t>零雨曦</t>
  </si>
  <si>
    <t>桂良焱</t>
  </si>
  <si>
    <t>陈前</t>
  </si>
  <si>
    <t>王豪</t>
  </si>
  <si>
    <t>钟晴</t>
  </si>
  <si>
    <t>李小叶</t>
  </si>
  <si>
    <t>成云霄</t>
  </si>
  <si>
    <t>吴浩平</t>
  </si>
  <si>
    <t>方文佩</t>
  </si>
  <si>
    <t>道黾义</t>
  </si>
  <si>
    <t>李奥</t>
  </si>
  <si>
    <t>李嘉晨</t>
  </si>
  <si>
    <t>杨子晗</t>
  </si>
  <si>
    <t>裴逸凡</t>
  </si>
  <si>
    <t>陈森</t>
  </si>
  <si>
    <t>聂芳</t>
  </si>
  <si>
    <t>刘春艳</t>
  </si>
  <si>
    <t>类别</t>
  </si>
  <si>
    <t>器械名称</t>
  </si>
  <si>
    <t>规格</t>
  </si>
  <si>
    <t>期初库存</t>
  </si>
  <si>
    <t>2025年7月</t>
  </si>
  <si>
    <t>2025年8月</t>
  </si>
  <si>
    <t>2025年9月</t>
  </si>
  <si>
    <t>本月库存量</t>
  </si>
  <si>
    <t>操房用品</t>
  </si>
  <si>
    <t>蹦床</t>
  </si>
  <si>
    <t>个</t>
  </si>
  <si>
    <t>杠铃</t>
  </si>
  <si>
    <t>杠铃片1.25kg</t>
  </si>
  <si>
    <t>杠铃片2.5kg</t>
  </si>
  <si>
    <t>杠铃片5kg</t>
  </si>
  <si>
    <t>杠铃片收纳架</t>
  </si>
  <si>
    <t>1kg哑铃</t>
  </si>
  <si>
    <t>踏板</t>
  </si>
  <si>
    <t>踏板支架</t>
  </si>
  <si>
    <t>小跳栏</t>
  </si>
  <si>
    <t>小篮球</t>
  </si>
  <si>
    <t>跳绳</t>
  </si>
  <si>
    <t>椎桶</t>
  </si>
  <si>
    <t>波速球</t>
  </si>
  <si>
    <t>药球</t>
  </si>
  <si>
    <t>瑜伽砖</t>
  </si>
  <si>
    <t>固定单车</t>
  </si>
  <si>
    <t>台</t>
  </si>
  <si>
    <t>器械区</t>
  </si>
  <si>
    <t>跑步机</t>
  </si>
  <si>
    <t>椭圆仪</t>
  </si>
  <si>
    <t>爬楼机</t>
  </si>
  <si>
    <t>坐姿推肩</t>
  </si>
  <si>
    <t>倒蹲机</t>
  </si>
  <si>
    <t>蝴蝶机</t>
  </si>
  <si>
    <t>坐姿推开合</t>
  </si>
  <si>
    <t>小杠铃架</t>
  </si>
  <si>
    <t>坐姿推胸</t>
  </si>
  <si>
    <t>坐姿划船</t>
  </si>
  <si>
    <t>助力引体向上</t>
  </si>
  <si>
    <t>坐姿腿弯举</t>
  </si>
  <si>
    <t>坐姿腿曲伸</t>
  </si>
  <si>
    <t>哈克深蹲</t>
  </si>
  <si>
    <t>坐姿高位下拉</t>
  </si>
  <si>
    <t>可调节卷腹仪</t>
  </si>
  <si>
    <t>罗马椅</t>
  </si>
  <si>
    <t>仰卧飞鸟</t>
  </si>
  <si>
    <t>史密斯</t>
  </si>
  <si>
    <t>龙门架</t>
  </si>
  <si>
    <t>平板凳</t>
  </si>
  <si>
    <t>可调节平板凳</t>
  </si>
  <si>
    <t>小直杠铃</t>
  </si>
  <si>
    <t>小曲杠铃</t>
  </si>
  <si>
    <t>水阻划船</t>
  </si>
  <si>
    <t>山羊挺身椅</t>
  </si>
  <si>
    <t>深蹲架</t>
  </si>
  <si>
    <t>六角杠铃</t>
  </si>
  <si>
    <t>上斜推胸椅</t>
  </si>
  <si>
    <t>平板推胸椅</t>
  </si>
  <si>
    <t>平板辅助推胸凳</t>
  </si>
  <si>
    <t>三头下压器</t>
  </si>
  <si>
    <t>硬拉蹬腿器</t>
  </si>
  <si>
    <t>海豹式划船器</t>
  </si>
  <si>
    <t>臀桥</t>
  </si>
  <si>
    <t>跳箱</t>
  </si>
  <si>
    <t>二头弯举椅</t>
  </si>
  <si>
    <t>杠铃片</t>
  </si>
  <si>
    <t>2.5kg</t>
  </si>
  <si>
    <t>1.25kg</t>
  </si>
  <si>
    <t>5.0kg</t>
  </si>
  <si>
    <t>10kg</t>
  </si>
  <si>
    <t>15kg</t>
  </si>
  <si>
    <t>20kg</t>
  </si>
  <si>
    <t>25kg</t>
  </si>
  <si>
    <t>5kg</t>
  </si>
  <si>
    <t>7.5kg</t>
  </si>
  <si>
    <t>12.5kg</t>
  </si>
  <si>
    <t>17.5kg</t>
  </si>
  <si>
    <t>22.5kg</t>
  </si>
  <si>
    <t>27.5kg</t>
  </si>
  <si>
    <t>30kg</t>
  </si>
  <si>
    <t>35kg</t>
  </si>
  <si>
    <t>40kg</t>
  </si>
  <si>
    <t>45kg</t>
  </si>
  <si>
    <t>50kg</t>
  </si>
  <si>
    <t>拳击</t>
  </si>
  <si>
    <t>拳击台</t>
  </si>
  <si>
    <t xml:space="preserve">女子训练区
</t>
  </si>
  <si>
    <t>四站位组合训练机</t>
  </si>
  <si>
    <t>大扩胸/背部训练机</t>
  </si>
  <si>
    <t>臀部机</t>
  </si>
  <si>
    <t>髋臀部训练机</t>
  </si>
  <si>
    <t>坐式三头下压肌训练机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</si>
</sst>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name val="宋体"/>
      <charset val="134"/>
    </font>
    <font>
      <b/>
      <sz val="18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4"/>
      <name val="新宋体"/>
      <charset val="134"/>
    </font>
    <font>
      <b/>
      <sz val="12"/>
      <name val="新宋体"/>
      <charset val="134"/>
    </font>
    <font>
      <sz val="11"/>
      <color theme="2" tint="-0.9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6"/>
      <name val="宋体"/>
      <charset val="134"/>
      <scheme val="minor"/>
    </font>
    <font>
      <b/>
      <sz val="14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3499557481612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13" applyNumberFormat="0" applyAlignment="0" applyProtection="0">
      <alignment vertical="center"/>
    </xf>
    <xf numFmtId="0" fontId="35" fillId="10" borderId="14" applyNumberFormat="0" applyAlignment="0" applyProtection="0">
      <alignment vertical="center"/>
    </xf>
    <xf numFmtId="0" fontId="36" fillId="10" borderId="13" applyNumberFormat="0" applyAlignment="0" applyProtection="0">
      <alignment vertical="center"/>
    </xf>
    <xf numFmtId="0" fontId="37" fillId="11" borderId="15" applyNumberFormat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6" fillId="0" borderId="17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ont="1">
      <alignment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49" fontId="17" fillId="6" borderId="1" xfId="0" applyNumberFormat="1" applyFont="1" applyFill="1" applyBorder="1" applyAlignment="1" applyProtection="1">
      <alignment horizontal="center" vertical="center" wrapText="1"/>
    </xf>
    <xf numFmtId="14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43" fontId="9" fillId="2" borderId="1" xfId="0" applyNumberFormat="1" applyFont="1" applyFill="1" applyBorder="1" applyAlignment="1">
      <alignment horizontal="center" vertical="center" wrapText="1"/>
    </xf>
    <xf numFmtId="43" fontId="9" fillId="2" borderId="1" xfId="0" applyNumberFormat="1" applyFont="1" applyFill="1" applyBorder="1" applyAlignment="1">
      <alignment horizontal="center" vertical="center"/>
    </xf>
    <xf numFmtId="43" fontId="9" fillId="7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7" fillId="0" borderId="1" xfId="6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9" fillId="2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9" fillId="2" borderId="2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D0D0D"/>
      <color rgb="00800080"/>
      <color rgb="00A9D08E"/>
      <color rgb="00A6A6A6"/>
      <color rgb="00F8CBAD"/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3"/>
  <sheetViews>
    <sheetView workbookViewId="0">
      <selection activeCell="K53" sqref="K53"/>
    </sheetView>
  </sheetViews>
  <sheetFormatPr defaultColWidth="9" defaultRowHeight="16.8" outlineLevelCol="5"/>
  <cols>
    <col min="1" max="1" width="12.5" customWidth="1"/>
    <col min="2" max="2" width="33.375" customWidth="1"/>
    <col min="3" max="3" width="37.5" customWidth="1"/>
    <col min="4" max="4" width="24.375" style="20" customWidth="1"/>
    <col min="5" max="5" width="67.375" customWidth="1"/>
    <col min="6" max="6" width="30.125" customWidth="1"/>
  </cols>
  <sheetData>
    <row r="1" s="129" customFormat="1" ht="30" customHeight="1" spans="1:6">
      <c r="A1" s="130" t="s">
        <v>0</v>
      </c>
      <c r="B1" s="130"/>
      <c r="C1" s="130"/>
      <c r="D1" s="130"/>
      <c r="E1" s="130"/>
      <c r="F1" s="130"/>
    </row>
    <row r="2" s="129" customFormat="1" ht="25" customHeight="1" spans="1:6">
      <c r="A2" s="130" t="s">
        <v>1</v>
      </c>
      <c r="B2" s="130"/>
      <c r="C2" s="130" t="s">
        <v>2</v>
      </c>
      <c r="D2" s="130" t="s">
        <v>3</v>
      </c>
      <c r="E2" s="130" t="s">
        <v>4</v>
      </c>
      <c r="F2" s="130" t="s">
        <v>5</v>
      </c>
    </row>
    <row r="3" s="129" customFormat="1" ht="40" customHeight="1" spans="1:6">
      <c r="A3" s="131" t="s">
        <v>6</v>
      </c>
      <c r="B3" s="132" t="s">
        <v>7</v>
      </c>
      <c r="C3" s="131" t="s">
        <v>8</v>
      </c>
      <c r="D3" s="133" t="s">
        <v>9</v>
      </c>
      <c r="E3" s="132" t="s">
        <v>10</v>
      </c>
      <c r="F3" s="134" t="s">
        <v>11</v>
      </c>
    </row>
    <row r="4" s="129" customFormat="1" ht="80" customHeight="1" spans="1:6">
      <c r="A4" s="131"/>
      <c r="B4" s="131"/>
      <c r="C4" s="131" t="s">
        <v>12</v>
      </c>
      <c r="D4" s="135" t="s">
        <v>13</v>
      </c>
      <c r="E4" s="136" t="s">
        <v>14</v>
      </c>
      <c r="F4" s="131"/>
    </row>
    <row r="5" s="129" customFormat="1" ht="40" customHeight="1" spans="1:6">
      <c r="A5" s="131"/>
      <c r="B5" s="131"/>
      <c r="C5" s="131" t="s">
        <v>15</v>
      </c>
      <c r="D5" s="135" t="s">
        <v>16</v>
      </c>
      <c r="E5" s="134" t="s">
        <v>17</v>
      </c>
      <c r="F5" s="131"/>
    </row>
    <row r="6" s="129" customFormat="1" ht="40" customHeight="1" spans="1:6">
      <c r="A6" s="131"/>
      <c r="B6" s="131"/>
      <c r="C6" s="131" t="s">
        <v>18</v>
      </c>
      <c r="D6" s="135" t="s">
        <v>19</v>
      </c>
      <c r="E6" s="134" t="s">
        <v>20</v>
      </c>
      <c r="F6" s="131"/>
    </row>
    <row r="7" s="129" customFormat="1" ht="40" customHeight="1" spans="1:6">
      <c r="A7" s="131" t="s">
        <v>21</v>
      </c>
      <c r="B7" s="131" t="s">
        <v>22</v>
      </c>
      <c r="C7" s="131" t="s">
        <v>22</v>
      </c>
      <c r="D7" s="135" t="s">
        <v>23</v>
      </c>
      <c r="E7" s="134" t="s">
        <v>24</v>
      </c>
      <c r="F7" s="134" t="s">
        <v>25</v>
      </c>
    </row>
    <row r="8" s="129" customFormat="1" ht="40" customHeight="1" spans="1:6">
      <c r="A8" s="137" t="s">
        <v>26</v>
      </c>
      <c r="B8" s="131" t="s">
        <v>27</v>
      </c>
      <c r="C8" s="131" t="s">
        <v>27</v>
      </c>
      <c r="D8" s="133" t="s">
        <v>28</v>
      </c>
      <c r="E8" s="131" t="s">
        <v>29</v>
      </c>
      <c r="F8" s="138" t="s">
        <v>30</v>
      </c>
    </row>
    <row r="9" s="129" customFormat="1" ht="40" customHeight="1" spans="1:6">
      <c r="A9" s="139"/>
      <c r="B9" s="131" t="s">
        <v>31</v>
      </c>
      <c r="C9" s="131" t="s">
        <v>32</v>
      </c>
      <c r="D9" s="133" t="s">
        <v>33</v>
      </c>
      <c r="E9" s="131" t="s">
        <v>34</v>
      </c>
      <c r="F9" s="140"/>
    </row>
    <row r="10" spans="1:6">
      <c r="A10" s="141"/>
      <c r="B10" s="142"/>
      <c r="C10" s="142"/>
      <c r="D10" s="142"/>
      <c r="E10" s="142"/>
      <c r="F10" s="142"/>
    </row>
    <row r="11" spans="1:6">
      <c r="A11" s="142"/>
      <c r="B11" s="142"/>
      <c r="C11" s="142"/>
      <c r="D11" s="142"/>
      <c r="E11" s="142"/>
      <c r="F11" s="142"/>
    </row>
    <row r="12" spans="1:6">
      <c r="A12" s="142"/>
      <c r="B12" s="142"/>
      <c r="C12" s="142"/>
      <c r="D12" s="142"/>
      <c r="E12" s="142"/>
      <c r="F12" s="142"/>
    </row>
    <row r="13" spans="1:6">
      <c r="A13" s="142"/>
      <c r="B13" s="142"/>
      <c r="C13" s="142"/>
      <c r="D13" s="142"/>
      <c r="E13" s="142"/>
      <c r="F13" s="142"/>
    </row>
  </sheetData>
  <mergeCells count="8">
    <mergeCell ref="A1:F1"/>
    <mergeCell ref="A2:B2"/>
    <mergeCell ref="A3:A6"/>
    <mergeCell ref="A8:A9"/>
    <mergeCell ref="B3:B6"/>
    <mergeCell ref="F3:F6"/>
    <mergeCell ref="F8:F9"/>
    <mergeCell ref="A10:F13"/>
  </mergeCells>
  <hyperlinks>
    <hyperlink ref="D3" location="收入汇总表!A1" display="收入汇总表!A1"/>
    <hyperlink ref="D4" location="收入流水表!A1" display="收入流水表!A1"/>
    <hyperlink ref="D5" location="水吧销售明细表!A1" display="水吧销售明细表!A1"/>
    <hyperlink ref="D6" location="游泳装备销售明细表!A1" display="游泳装备销售明细表!A1"/>
    <hyperlink ref="D7" location="发票信息登记表!A1" display="发票信息登记表!A1"/>
    <hyperlink ref="D9" location="固定资产盘点表!A1" display="固定资产盘点表!A1"/>
    <hyperlink ref="D8" location="礼品盘点表!A1" display="礼品盘点表!A1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35"/>
  <sheetViews>
    <sheetView workbookViewId="0">
      <pane ySplit="3" topLeftCell="A4" activePane="bottomLeft" state="frozen"/>
      <selection/>
      <selection pane="bottomLeft" activeCell="B4" sqref="B4:D4"/>
    </sheetView>
  </sheetViews>
  <sheetFormatPr defaultColWidth="9" defaultRowHeight="15" customHeight="1"/>
  <cols>
    <col min="1" max="1" width="12.375" style="42" customWidth="1"/>
    <col min="2" max="7" width="10.625" style="42" customWidth="1"/>
    <col min="8" max="8" width="12.625" style="42" customWidth="1"/>
    <col min="9" max="12" width="10.625" style="42" customWidth="1"/>
    <col min="13" max="13" width="12.625" style="42" customWidth="1"/>
    <col min="14" max="14" width="15.625" style="42" customWidth="1"/>
    <col min="15" max="18" width="10.625" style="42" customWidth="1"/>
    <col min="19" max="19" width="9.625" style="42" customWidth="1"/>
    <col min="20" max="20" width="9.5" style="42" customWidth="1"/>
    <col min="21" max="21" width="9" style="42"/>
    <col min="22" max="22" width="15" style="42" customWidth="1"/>
    <col min="23" max="16384" width="9" style="2"/>
  </cols>
  <sheetData>
    <row r="1" customFormat="1" ht="30" customHeight="1" spans="1:22">
      <c r="A1" s="119" t="s">
        <v>35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</row>
    <row r="2" customFormat="1" ht="25" customHeight="1" spans="1:22">
      <c r="A2" s="58"/>
      <c r="B2" s="120" t="s">
        <v>36</v>
      </c>
      <c r="C2" s="120"/>
      <c r="D2" s="120"/>
      <c r="E2" s="120"/>
      <c r="F2" s="120"/>
      <c r="G2" s="120"/>
      <c r="H2" s="120"/>
      <c r="I2" s="121" t="s">
        <v>37</v>
      </c>
      <c r="J2" s="122"/>
      <c r="K2" s="122"/>
      <c r="L2" s="122"/>
      <c r="M2" s="123"/>
      <c r="N2" s="120" t="s">
        <v>38</v>
      </c>
      <c r="O2" s="120" t="s">
        <v>39</v>
      </c>
      <c r="P2" s="120"/>
      <c r="Q2" s="120"/>
      <c r="R2" s="120"/>
      <c r="S2" s="120" t="s">
        <v>40</v>
      </c>
      <c r="T2" s="120"/>
      <c r="U2" s="58"/>
      <c r="V2" s="58" t="s">
        <v>41</v>
      </c>
    </row>
    <row r="3" customFormat="1" ht="25" customHeight="1" spans="1:22">
      <c r="A3" s="58" t="s">
        <v>42</v>
      </c>
      <c r="B3" s="58" t="s">
        <v>43</v>
      </c>
      <c r="C3" s="58" t="s">
        <v>44</v>
      </c>
      <c r="D3" s="58" t="s">
        <v>45</v>
      </c>
      <c r="E3" s="58" t="s">
        <v>46</v>
      </c>
      <c r="F3" s="58" t="s">
        <v>47</v>
      </c>
      <c r="G3" s="124" t="s">
        <v>48</v>
      </c>
      <c r="H3" s="58" t="s">
        <v>49</v>
      </c>
      <c r="I3" s="58" t="s">
        <v>50</v>
      </c>
      <c r="J3" s="58" t="s">
        <v>51</v>
      </c>
      <c r="K3" s="58" t="s">
        <v>52</v>
      </c>
      <c r="L3" s="58" t="s">
        <v>53</v>
      </c>
      <c r="M3" s="58" t="s">
        <v>49</v>
      </c>
      <c r="N3" s="58" t="s">
        <v>54</v>
      </c>
      <c r="O3" s="58" t="s">
        <v>55</v>
      </c>
      <c r="P3" s="58" t="s">
        <v>56</v>
      </c>
      <c r="Q3" s="58" t="s">
        <v>57</v>
      </c>
      <c r="R3" s="58" t="s">
        <v>58</v>
      </c>
      <c r="S3" s="58" t="s">
        <v>59</v>
      </c>
      <c r="T3" s="58" t="s">
        <v>60</v>
      </c>
      <c r="U3" s="58" t="s">
        <v>61</v>
      </c>
      <c r="V3" s="58"/>
    </row>
    <row r="4" customHeight="1" spans="1:22">
      <c r="A4" s="125">
        <v>46204</v>
      </c>
      <c r="B4" s="126">
        <f>SUMIFS(收入流水表!J:J,收入流水表!C:C,$B$3,收入流水表!A:A,A4)</f>
        <v>3973</v>
      </c>
      <c r="C4" s="126">
        <f>SUMIFS(收入流水表!J:J,收入流水表!C:C,$C$3,收入流水表!A:A,A4)</f>
        <v>0</v>
      </c>
      <c r="D4" s="126">
        <f>SUMIFS(收入流水表!J:J,收入流水表!C:C,$D$3,收入流水表!A:A,A4)</f>
        <v>13640</v>
      </c>
      <c r="E4" s="126">
        <f>SUMIFS(收入流水表!J:J,收入流水表!C:C,$E$3,收入流水表!A:A,A4)</f>
        <v>0</v>
      </c>
      <c r="F4" s="126">
        <f>SUMIFS(收入流水表!J:J,收入流水表!C:C,$F$3,收入流水表!A:A,A4)</f>
        <v>0</v>
      </c>
      <c r="G4" s="23">
        <f>SUMIFS(收入流水表!J:J,收入流水表!C:C,$G$3,收入流水表!A:A,A4)</f>
        <v>140</v>
      </c>
      <c r="H4" s="23">
        <f t="shared" ref="H4:H34" si="0">SUM(B4:G4)</f>
        <v>17753</v>
      </c>
      <c r="I4" s="23">
        <f>SUMIFS(收入流水表!J:J,收入流水表!C:C,$I$3,收入流水表!A:A,A4)</f>
        <v>58</v>
      </c>
      <c r="J4" s="23">
        <f>SUMIFS(收入流水表!J:J,收入流水表!C:C,$J$3,收入流水表!A:A,A4)</f>
        <v>0</v>
      </c>
      <c r="K4" s="23">
        <f>SUMIFS(收入流水表!J:J,收入流水表!C:C,$K$3,收入流水表!A:A,A4)</f>
        <v>39.6</v>
      </c>
      <c r="L4" s="23">
        <f>SUMIFS(收入流水表!J:J,收入流水表!C:C,$L$3,收入流水表!A:A,A4)</f>
        <v>0</v>
      </c>
      <c r="M4" s="23">
        <f>SUM(I4:L4)</f>
        <v>97.6</v>
      </c>
      <c r="N4" s="23">
        <f>H4+M4</f>
        <v>17850.6</v>
      </c>
      <c r="O4" s="23">
        <f>SUMIFS(收入流水表!J:J,收入流水表!I:I,$O$3,收入流水表!A:A,A4)</f>
        <v>9413</v>
      </c>
      <c r="P4" s="23">
        <f>SUMIFS(收入流水表!J:J,收入流水表!I:I,$P$3,收入流水表!A:A,A4)</f>
        <v>8200</v>
      </c>
      <c r="Q4" s="23">
        <f>SUMIFS(收入流水表!J:J,收入流水表!I:I,$Q$3,收入流水表!A:A,A4)</f>
        <v>0</v>
      </c>
      <c r="R4" s="23">
        <f>SUMIFS(收入流水表!J:J,收入流水表!I:I,$R$3,收入流水表!A:A,A4)</f>
        <v>0</v>
      </c>
    </row>
    <row r="5" customHeight="1" spans="1:22">
      <c r="A5" s="125">
        <v>46205</v>
      </c>
      <c r="B5" s="126">
        <f>SUMIFS(收入流水表!J:J,收入流水表!C:C,$B$3,收入流水表!A:A,A5)</f>
        <v>7411</v>
      </c>
      <c r="C5" s="126">
        <f>SUMIFS(收入流水表!J:J,收入流水表!C:C,$C$3,收入流水表!A:A,A5)</f>
        <v>2356</v>
      </c>
      <c r="D5" s="126">
        <f>SUMIFS(收入流水表!J:J,收入流水表!C:C,$D$3,收入流水表!A:A,A5)</f>
        <v>2500</v>
      </c>
      <c r="E5" s="126">
        <f>SUMIFS(收入流水表!J:J,收入流水表!C:C,$E$3,收入流水表!A:A,A5)</f>
        <v>0</v>
      </c>
      <c r="F5" s="126">
        <f>SUMIFS(收入流水表!J:J,收入流水表!C:C,$F$3,收入流水表!A:A,A5)</f>
        <v>0</v>
      </c>
      <c r="G5" s="23">
        <f>SUMIFS(收入流水表!J:J,收入流水表!C:C,$G$3,收入流水表!A:A,A5)</f>
        <v>295</v>
      </c>
      <c r="H5" s="23">
        <f t="shared" si="0"/>
        <v>12562</v>
      </c>
      <c r="I5" s="23">
        <f>SUMIFS(收入流水表!J:J,收入流水表!C:C,$I$3,收入流水表!A:A,A5)</f>
        <v>18</v>
      </c>
      <c r="J5" s="23">
        <f>SUMIFS(收入流水表!J:J,收入流水表!C:C,$J$3,收入流水表!A:A,A5)</f>
        <v>0</v>
      </c>
      <c r="K5" s="23">
        <f>SUMIFS(收入流水表!J:J,收入流水表!C:C,$K$3,收入流水表!A:A,A5)</f>
        <v>409.7</v>
      </c>
      <c r="L5" s="23">
        <f>SUMIFS(收入流水表!J:J,收入流水表!C:C,$L$3,收入流水表!A:A,A5)</f>
        <v>0</v>
      </c>
      <c r="M5" s="23">
        <f t="shared" ref="M4:M34" si="1">SUM(I5:L5)</f>
        <v>427.7</v>
      </c>
      <c r="N5" s="23">
        <f t="shared" ref="N4:N34" si="2">H5+M5</f>
        <v>12989.7</v>
      </c>
      <c r="O5" s="23">
        <f>SUMIFS(收入流水表!J:J,收入流水表!I:I,$O$3,收入流水表!A:A,A5)</f>
        <v>11976</v>
      </c>
      <c r="P5" s="23">
        <f>SUMIFS(收入流水表!J:J,收入流水表!I:I,$P$3,收入流水表!A:A,A5)</f>
        <v>0</v>
      </c>
      <c r="Q5" s="23">
        <f>SUMIFS(收入流水表!J:J,收入流水表!I:I,$Q$3,收入流水表!A:A,A5)</f>
        <v>0</v>
      </c>
      <c r="R5" s="23">
        <f>SUMIFS(收入流水表!J:J,收入流水表!I:I,$R$3,收入流水表!A:A,A5)</f>
        <v>0</v>
      </c>
    </row>
    <row r="6" customHeight="1" spans="1:22">
      <c r="A6" s="125">
        <v>46206</v>
      </c>
      <c r="B6" s="126">
        <f>SUMIFS(收入流水表!J:J,收入流水表!C:C,$B$3,收入流水表!A:A,A6)</f>
        <v>3485</v>
      </c>
      <c r="C6" s="126">
        <f>SUMIFS(收入流水表!J:J,收入流水表!C:C,$C$3,收入流水表!A:A,A6)</f>
        <v>460</v>
      </c>
      <c r="D6" s="126">
        <f>SUMIFS(收入流水表!J:J,收入流水表!C:C,$D$3,收入流水表!A:A,A6)</f>
        <v>2400</v>
      </c>
      <c r="E6" s="126">
        <f>SUMIFS(收入流水表!J:J,收入流水表!C:C,$E$3,收入流水表!A:A,A6)</f>
        <v>0</v>
      </c>
      <c r="F6" s="126">
        <f>SUMIFS(收入流水表!J:J,收入流水表!C:C,$F$3,收入流水表!A:A,A6)</f>
        <v>0</v>
      </c>
      <c r="G6" s="23">
        <f>SUMIFS(收入流水表!J:J,收入流水表!C:C,$G$3,收入流水表!A:A,A6)</f>
        <v>80</v>
      </c>
      <c r="H6" s="23">
        <f t="shared" si="0"/>
        <v>6425</v>
      </c>
      <c r="I6" s="23">
        <f>SUMIFS(收入流水表!J:J,收入流水表!C:C,$I$3,收入流水表!A:A,A6)</f>
        <v>23</v>
      </c>
      <c r="J6" s="23">
        <f>SUMIFS(收入流水表!J:J,收入流水表!C:C,$J$3,收入流水表!A:A,A6)</f>
        <v>0</v>
      </c>
      <c r="K6" s="23">
        <f>SUMIFS(收入流水表!J:J,收入流水表!C:C,$K$3,收入流水表!A:A,A6)</f>
        <v>29.7</v>
      </c>
      <c r="L6" s="23">
        <f>SUMIFS(收入流水表!J:J,收入流水表!C:C,$L$3,收入流水表!A:A,A6)</f>
        <v>0</v>
      </c>
      <c r="M6" s="23">
        <f t="shared" si="1"/>
        <v>52.7</v>
      </c>
      <c r="N6" s="23">
        <f t="shared" si="2"/>
        <v>6477.7</v>
      </c>
      <c r="O6" s="23">
        <f>SUMIFS(收入流水表!J:J,收入流水表!I:I,$O$3,收入流水表!A:A,A6)</f>
        <v>5060</v>
      </c>
      <c r="P6" s="23">
        <f>SUMIFS(收入流水表!J:J,收入流水表!I:I,$P$3,收入流水表!A:A,A6)</f>
        <v>0</v>
      </c>
      <c r="Q6" s="23">
        <f>SUMIFS(收入流水表!J:J,收入流水表!I:I,$Q$3,收入流水表!A:A,A6)</f>
        <v>0</v>
      </c>
      <c r="R6" s="23">
        <f>SUMIFS(收入流水表!J:J,收入流水表!I:I,$R$3,收入流水表!A:A,A6)</f>
        <v>1000</v>
      </c>
    </row>
    <row r="7" customHeight="1" spans="1:22">
      <c r="A7" s="125">
        <v>46207</v>
      </c>
      <c r="B7" s="126">
        <f>SUMIFS(收入流水表!J:J,收入流水表!C:C,$B$3,收入流水表!A:A,A7)</f>
        <v>3900</v>
      </c>
      <c r="C7" s="126">
        <f>SUMIFS(收入流水表!J:J,收入流水表!C:C,$C$3,收入流水表!A:A,A7)</f>
        <v>0</v>
      </c>
      <c r="D7" s="126">
        <f>SUMIFS(收入流水表!J:J,收入流水表!C:C,$D$3,收入流水表!A:A,A7)</f>
        <v>8899</v>
      </c>
      <c r="E7" s="126">
        <f>SUMIFS(收入流水表!J:J,收入流水表!C:C,$E$3,收入流水表!A:A,A7)</f>
        <v>0</v>
      </c>
      <c r="F7" s="126">
        <f>SUMIFS(收入流水表!J:J,收入流水表!C:C,$F$3,收入流水表!A:A,A7)</f>
        <v>0</v>
      </c>
      <c r="G7" s="23">
        <f>SUMIFS(收入流水表!J:J,收入流水表!C:C,$G$3,收入流水表!A:A,A7)</f>
        <v>20</v>
      </c>
      <c r="H7" s="23">
        <f t="shared" si="0"/>
        <v>12819</v>
      </c>
      <c r="I7" s="23">
        <f>SUMIFS(收入流水表!J:J,收入流水表!C:C,$I$3,收入流水表!A:A,A7)</f>
        <v>27</v>
      </c>
      <c r="J7" s="23">
        <f>SUMIFS(收入流水表!J:J,收入流水表!C:C,$J$3,收入流水表!A:A,A7)</f>
        <v>0</v>
      </c>
      <c r="K7" s="23">
        <f>SUMIFS(收入流水表!J:J,收入流水表!C:C,$K$3,收入流水表!A:A,A7)</f>
        <v>29.7</v>
      </c>
      <c r="L7" s="23">
        <f>SUMIFS(收入流水表!J:J,收入流水表!C:C,$L$3,收入流水表!A:A,A7)</f>
        <v>0</v>
      </c>
      <c r="M7" s="23">
        <f t="shared" si="1"/>
        <v>56.7</v>
      </c>
      <c r="N7" s="23">
        <f t="shared" si="2"/>
        <v>12875.7</v>
      </c>
      <c r="O7" s="23">
        <f>SUMIFS(收入流水表!J:J,收入流水表!I:I,$O$3,收入流水表!A:A,A7)</f>
        <v>12799</v>
      </c>
      <c r="P7" s="23">
        <f>SUMIFS(收入流水表!J:J,收入流水表!I:I,$P$3,收入流水表!A:A,A7)</f>
        <v>0</v>
      </c>
      <c r="Q7" s="23">
        <f>SUMIFS(收入流水表!J:J,收入流水表!I:I,$Q$3,收入流水表!A:A,A7)</f>
        <v>0</v>
      </c>
      <c r="R7" s="23">
        <f>SUMIFS(收入流水表!J:J,收入流水表!I:I,$R$3,收入流水表!A:A,A7)</f>
        <v>0</v>
      </c>
    </row>
    <row r="8" customHeight="1" spans="1:22">
      <c r="A8" s="125">
        <v>46208</v>
      </c>
      <c r="B8" s="126">
        <f>SUMIFS(收入流水表!J:J,收入流水表!C:C,$B$3,收入流水表!A:A,A8)</f>
        <v>8723</v>
      </c>
      <c r="C8" s="126">
        <f>SUMIFS(收入流水表!J:J,收入流水表!C:C,$C$3,收入流水表!A:A,A8)</f>
        <v>2800</v>
      </c>
      <c r="D8" s="126">
        <f>SUMIFS(收入流水表!J:J,收入流水表!C:C,$D$3,收入流水表!A:A,A8)</f>
        <v>8299</v>
      </c>
      <c r="E8" s="126">
        <f>SUMIFS(收入流水表!J:J,收入流水表!C:C,$E$3,收入流水表!A:A,A8)</f>
        <v>0</v>
      </c>
      <c r="F8" s="126">
        <f>SUMIFS(收入流水表!J:J,收入流水表!C:C,$F$3,收入流水表!A:A,A8)</f>
        <v>0</v>
      </c>
      <c r="G8" s="23">
        <f>SUMIFS(收入流水表!J:J,收入流水表!C:C,$G$3,收入流水表!A:A,A8)</f>
        <v>110</v>
      </c>
      <c r="H8" s="23">
        <f t="shared" si="0"/>
        <v>19932</v>
      </c>
      <c r="I8" s="23">
        <f>SUMIFS(收入流水表!J:J,收入流水表!C:C,$I$3,收入流水表!A:A,A8)</f>
        <v>33</v>
      </c>
      <c r="J8" s="23">
        <f>SUMIFS(收入流水表!J:J,收入流水表!C:C,$J$3,收入流水表!A:A,A8)</f>
        <v>0</v>
      </c>
      <c r="K8" s="23">
        <f>SUMIFS(收入流水表!J:J,收入流水表!C:C,$K$3,收入流水表!A:A,A8)</f>
        <v>0</v>
      </c>
      <c r="L8" s="23">
        <f>SUMIFS(收入流水表!J:J,收入流水表!C:C,$L$3,收入流水表!A:A,A8)</f>
        <v>0</v>
      </c>
      <c r="M8" s="23">
        <f t="shared" si="1"/>
        <v>33</v>
      </c>
      <c r="N8" s="23">
        <f t="shared" si="2"/>
        <v>19965</v>
      </c>
      <c r="O8" s="23">
        <f>SUMIFS(收入流水表!J:J,收入流水表!I:I,$O$3,收入流水表!A:A,A8)</f>
        <v>14923</v>
      </c>
      <c r="P8" s="23">
        <f>SUMIFS(收入流水表!J:J,收入流水表!I:I,$P$3,收入流水表!A:A,A8)</f>
        <v>4400</v>
      </c>
      <c r="Q8" s="23">
        <f>SUMIFS(收入流水表!J:J,收入流水表!I:I,$Q$3,收入流水表!A:A,A8)</f>
        <v>0</v>
      </c>
      <c r="R8" s="23">
        <f>SUMIFS(收入流水表!J:J,收入流水表!I:I,$R$3,收入流水表!A:A,A8)</f>
        <v>0</v>
      </c>
    </row>
    <row r="9" customHeight="1" spans="1:22">
      <c r="A9" s="125">
        <v>46209</v>
      </c>
      <c r="B9" s="126">
        <f>SUMIFS(收入流水表!J:J,收入流水表!C:C,$B$3,收入流水表!A:A,A9)</f>
        <v>7899.9</v>
      </c>
      <c r="C9" s="126">
        <f>SUMIFS(收入流水表!J:J,收入流水表!C:C,$C$3,收入流水表!A:A,A9)</f>
        <v>1720</v>
      </c>
      <c r="D9" s="126">
        <f>SUMIFS(收入流水表!J:J,收入流水表!C:C,$D$3,收入流水表!A:A,A9)</f>
        <v>6999</v>
      </c>
      <c r="E9" s="126">
        <f>SUMIFS(收入流水表!J:J,收入流水表!C:C,$E$3,收入流水表!A:A,A9)</f>
        <v>0</v>
      </c>
      <c r="F9" s="126">
        <f>SUMIFS(收入流水表!J:J,收入流水表!C:C,$F$3,收入流水表!A:A,A9)</f>
        <v>0</v>
      </c>
      <c r="G9" s="23">
        <f>SUMIFS(收入流水表!J:J,收入流水表!C:C,$G$3,收入流水表!A:A,A9)</f>
        <v>85</v>
      </c>
      <c r="H9" s="23">
        <f t="shared" si="0"/>
        <v>16703.9</v>
      </c>
      <c r="I9" s="23">
        <f>SUMIFS(收入流水表!J:J,收入流水表!C:C,$I$3,收入流水表!A:A,A9)</f>
        <v>31</v>
      </c>
      <c r="J9" s="23">
        <f>SUMIFS(收入流水表!J:J,收入流水表!C:C,$J$3,收入流水表!A:A,A9)</f>
        <v>0</v>
      </c>
      <c r="K9" s="23">
        <f>SUMIFS(收入流水表!J:J,收入流水表!C:C,$K$3,收入流水表!A:A,A9)</f>
        <v>0</v>
      </c>
      <c r="L9" s="23">
        <f>SUMIFS(收入流水表!J:J,收入流水表!C:C,$L$3,收入流水表!A:A,A9)</f>
        <v>0</v>
      </c>
      <c r="M9" s="23">
        <f t="shared" si="1"/>
        <v>31</v>
      </c>
      <c r="N9" s="23">
        <f t="shared" si="2"/>
        <v>16734.9</v>
      </c>
      <c r="O9" s="23">
        <f>SUMIFS(收入流水表!J:J,收入流水表!I:I,$O$3,收入流水表!A:A,A9)</f>
        <v>15949</v>
      </c>
      <c r="P9" s="23">
        <f>SUMIFS(收入流水表!J:J,收入流水表!I:I,$P$3,收入流水表!A:A,A9)</f>
        <v>520</v>
      </c>
      <c r="Q9" s="23">
        <f>SUMIFS(收入流水表!J:J,收入流水表!I:I,$Q$3,收入流水表!A:A,A9)</f>
        <v>0</v>
      </c>
      <c r="R9" s="23">
        <f>SUMIFS(收入流水表!J:J,收入流水表!I:I,$R$3,收入流水表!A:A,A9)</f>
        <v>0</v>
      </c>
    </row>
    <row r="10" customHeight="1" spans="1:22">
      <c r="A10" s="125">
        <v>46210</v>
      </c>
      <c r="B10" s="126">
        <f>SUMIFS(收入流水表!J:J,收入流水表!C:C,$B$3,收入流水表!A:A,A10)</f>
        <v>8599</v>
      </c>
      <c r="C10" s="126">
        <f>SUMIFS(收入流水表!J:J,收入流水表!C:C,$C$3,收入流水表!A:A,A10)</f>
        <v>600</v>
      </c>
      <c r="D10" s="126">
        <f>SUMIFS(收入流水表!J:J,收入流水表!C:C,$D$3,收入流水表!A:A,A10)</f>
        <v>299</v>
      </c>
      <c r="E10" s="126">
        <f>SUMIFS(收入流水表!J:J,收入流水表!C:C,$E$3,收入流水表!A:A,A10)</f>
        <v>0</v>
      </c>
      <c r="F10" s="126">
        <f>SUMIFS(收入流水表!J:J,收入流水表!C:C,$F$3,收入流水表!A:A,A10)</f>
        <v>0</v>
      </c>
      <c r="G10" s="23">
        <f>SUMIFS(收入流水表!J:J,收入流水表!C:C,$G$3,收入流水表!A:A,A10)</f>
        <v>75</v>
      </c>
      <c r="H10" s="23">
        <f t="shared" si="0"/>
        <v>9573</v>
      </c>
      <c r="I10" s="23">
        <f>SUMIFS(收入流水表!J:J,收入流水表!C:C,$I$3,收入流水表!A:A,A10)</f>
        <v>22</v>
      </c>
      <c r="J10" s="23">
        <v>0</v>
      </c>
      <c r="K10" s="23">
        <f>SUMIFS(收入流水表!J:J,收入流水表!C:C,$K$3,收入流水表!A:A,A10)</f>
        <v>0</v>
      </c>
      <c r="L10" s="23">
        <f>SUMIFS(收入流水表!J:J,收入流水表!C:C,$L$3,收入流水表!A:A,A10)</f>
        <v>0</v>
      </c>
      <c r="M10" s="23">
        <f t="shared" si="1"/>
        <v>22</v>
      </c>
      <c r="N10" s="23">
        <f t="shared" si="2"/>
        <v>9595</v>
      </c>
      <c r="O10" s="23">
        <f>SUMIFS(收入流水表!J:J,收入流水表!I:I,$O$3,收入流水表!A:A,A10)</f>
        <v>8998</v>
      </c>
      <c r="P10" s="23">
        <f>SUMIFS(收入流水表!J:J,收入流水表!I:I,$P$3,收入流水表!A:A,A10)</f>
        <v>500</v>
      </c>
      <c r="Q10" s="23">
        <f>SUMIFS(收入流水表!J:J,收入流水表!I:I,$Q$3,收入流水表!A:A,A10)</f>
        <v>0</v>
      </c>
      <c r="R10" s="23">
        <f>SUMIFS(收入流水表!J:J,收入流水表!I:I,$R$3,收入流水表!A:A,A10)</f>
        <v>0</v>
      </c>
    </row>
    <row r="11" customHeight="1" spans="1:22">
      <c r="A11" s="125">
        <v>46211</v>
      </c>
      <c r="B11" s="126">
        <f>SUMIFS(收入流水表!J:J,收入流水表!C:C,$B$3,收入流水表!A:A,A11)</f>
        <v>7199</v>
      </c>
      <c r="C11" s="126">
        <f>SUMIFS(收入流水表!J:J,收入流水表!C:C,$C$3,收入流水表!A:A,A11)</f>
        <v>0</v>
      </c>
      <c r="D11" s="126">
        <f>SUMIFS(收入流水表!J:J,收入流水表!C:C,$D$3,收入流水表!A:A,A11)</f>
        <v>6811</v>
      </c>
      <c r="E11" s="126">
        <f>SUMIFS(收入流水表!J:J,收入流水表!C:C,$E$3,收入流水表!A:A,A11)</f>
        <v>0</v>
      </c>
      <c r="F11" s="126">
        <f>SUMIFS(收入流水表!J:J,收入流水表!C:C,$F$3,收入流水表!A:A,A11)</f>
        <v>0</v>
      </c>
      <c r="G11" s="23">
        <f>SUMIFS(收入流水表!J:J,收入流水表!C:C,$G$3,收入流水表!A:A,A11)</f>
        <v>0</v>
      </c>
      <c r="H11" s="23">
        <f t="shared" si="0"/>
        <v>14010</v>
      </c>
      <c r="I11" s="23">
        <f>SUMIFS(收入流水表!J:J,收入流水表!C:C,$I$3,收入流水表!A:A,A11)</f>
        <v>46</v>
      </c>
      <c r="J11" s="23">
        <f>SUMIFS(收入流水表!J:J,收入流水表!C:C,$J$3,收入流水表!A:A,A11)</f>
        <v>0</v>
      </c>
      <c r="K11" s="23">
        <f>SUMIFS(收入流水表!J:J,收入流水表!C:C,$K$3,收入流水表!A:A,A11)</f>
        <v>29.7</v>
      </c>
      <c r="L11" s="23">
        <f>SUMIFS(收入流水表!J:J,收入流水表!C:C,$L$3,收入流水表!A:A,A11)</f>
        <v>0</v>
      </c>
      <c r="M11" s="23">
        <f t="shared" si="1"/>
        <v>75.7</v>
      </c>
      <c r="N11" s="23">
        <f t="shared" si="2"/>
        <v>14085.7</v>
      </c>
      <c r="O11" s="23">
        <f>SUMIFS(收入流水表!J:J,收入流水表!I:I,$O$3,收入流水表!A:A,A11)</f>
        <v>8910</v>
      </c>
      <c r="P11" s="23">
        <f>SUMIFS(收入流水表!J:J,收入流水表!I:I,$P$3,收入流水表!A:A,A11)</f>
        <v>2100</v>
      </c>
      <c r="Q11" s="23">
        <f>SUMIFS(收入流水表!J:J,收入流水表!I:I,$Q$3,收入流水表!A:A,A11)</f>
        <v>3000</v>
      </c>
      <c r="R11" s="23">
        <f>SUMIFS(收入流水表!J:J,收入流水表!I:I,$R$3,收入流水表!A:A,A11)</f>
        <v>0</v>
      </c>
    </row>
    <row r="12" customHeight="1" spans="1:22">
      <c r="A12" s="125">
        <v>46212</v>
      </c>
      <c r="B12" s="126">
        <f>SUMIFS(收入流水表!J:J,收入流水表!C:C,$B$3,收入流水表!A:A,A12)</f>
        <v>5059</v>
      </c>
      <c r="C12" s="126">
        <f>SUMIFS(收入流水表!J:J,收入流水表!C:C,$C$3,收入流水表!A:A,A12)</f>
        <v>3600</v>
      </c>
      <c r="D12" s="126">
        <f>SUMIFS(收入流水表!J:J,收入流水表!C:C,$D$3,收入流水表!A:A,A12)</f>
        <v>9090</v>
      </c>
      <c r="E12" s="126">
        <f>SUMIFS(收入流水表!J:J,收入流水表!C:C,$E$3,收入流水表!A:A,A12)</f>
        <v>0</v>
      </c>
      <c r="F12" s="126">
        <f>SUMIFS(收入流水表!J:J,收入流水表!C:C,$F$3,收入流水表!A:A,A12)</f>
        <v>0</v>
      </c>
      <c r="G12" s="23">
        <f>SUMIFS(收入流水表!J:J,收入流水表!C:C,$G$3,收入流水表!A:A,A12)</f>
        <v>40</v>
      </c>
      <c r="H12" s="23">
        <f t="shared" si="0"/>
        <v>17789</v>
      </c>
      <c r="I12" s="23">
        <f>SUMIFS(收入流水表!J:J,收入流水表!C:C,$I$3,收入流水表!A:A,A12)</f>
        <v>25</v>
      </c>
      <c r="J12" s="23">
        <f>SUMIFS(收入流水表!J:J,收入流水表!C:C,$J$3,收入流水表!A:A,A12)</f>
        <v>0</v>
      </c>
      <c r="K12" s="23">
        <f>SUMIFS(收入流水表!J:J,收入流水表!C:C,$K$3,收入流水表!A:A,A12)</f>
        <v>29.7</v>
      </c>
      <c r="L12" s="23">
        <f>SUMIFS(收入流水表!J:J,收入流水表!C:C,$L$3,收入流水表!A:A,A12)</f>
        <v>0</v>
      </c>
      <c r="M12" s="23">
        <f t="shared" si="1"/>
        <v>54.7</v>
      </c>
      <c r="N12" s="23">
        <f t="shared" si="2"/>
        <v>17843.7</v>
      </c>
      <c r="O12" s="23">
        <f>SUMIFS(收入流水表!J:J,收入流水表!I:I,$O$3,收入流水表!A:A,A12)</f>
        <v>17269</v>
      </c>
      <c r="P12" s="23">
        <f>SUMIFS(收入流水表!J:J,收入流水表!I:I,$P$3,收入流水表!A:A,A12)</f>
        <v>480</v>
      </c>
      <c r="Q12" s="23">
        <f>SUMIFS(收入流水表!J:J,收入流水表!I:I,$Q$3,收入流水表!A:A,A12)</f>
        <v>0</v>
      </c>
      <c r="R12" s="23">
        <f>SUMIFS(收入流水表!J:J,收入流水表!I:I,$R$3,收入流水表!A:A,A12)</f>
        <v>0</v>
      </c>
    </row>
    <row r="13" customHeight="1" spans="1:22">
      <c r="A13" s="125">
        <v>46213</v>
      </c>
      <c r="B13" s="126">
        <v>15855</v>
      </c>
      <c r="C13" s="126">
        <f>SUMIFS(收入流水表!J:J,收入流水表!C:C,$C$3,收入流水表!A:A,A13)</f>
        <v>1509</v>
      </c>
      <c r="D13" s="126">
        <f>SUMIFS(收入流水表!J:J,收入流水表!C:C,$D$3,收入流水表!A:A,A13)</f>
        <v>15380</v>
      </c>
      <c r="E13" s="126">
        <f>SUMIFS(收入流水表!J:J,收入流水表!C:C,$E$3,收入流水表!A:A,A13)</f>
        <v>0</v>
      </c>
      <c r="F13" s="126">
        <f>SUMIFS(收入流水表!J:J,收入流水表!C:C,$F$3,收入流水表!A:A,A13)</f>
        <v>0</v>
      </c>
      <c r="G13" s="23">
        <f>SUMIFS(收入流水表!J:J,收入流水表!C:C,$G$3,收入流水表!A:A,A13)</f>
        <v>60</v>
      </c>
      <c r="H13" s="23">
        <f t="shared" si="0"/>
        <v>32804</v>
      </c>
      <c r="I13" s="23">
        <f>SUMIFS(收入流水表!J:J,收入流水表!C:C,$I$3,收入流水表!A:A,A13)</f>
        <v>52</v>
      </c>
      <c r="J13" s="61">
        <v>80</v>
      </c>
      <c r="K13" s="23">
        <f>SUMIFS(收入流水表!J:J,收入流水表!C:C,$K$3,收入流水表!A:A,A13)</f>
        <v>9.9</v>
      </c>
      <c r="L13" s="23">
        <f>SUMIFS(收入流水表!J:J,收入流水表!C:C,$L$3,收入流水表!A:A,A13)</f>
        <v>0</v>
      </c>
      <c r="M13" s="23">
        <f t="shared" si="1"/>
        <v>141.9</v>
      </c>
      <c r="N13" s="23">
        <f t="shared" si="2"/>
        <v>32945.9</v>
      </c>
      <c r="O13" s="23">
        <f>SUMIFS(收入流水表!J:J,收入流水表!I:I,$O$3,收入流水表!A:A,A13)</f>
        <v>14879</v>
      </c>
      <c r="P13" s="23">
        <f>SUMIFS(收入流水表!J:J,收入流水表!I:I,$P$3,收入流水表!A:A,A13)</f>
        <v>3980</v>
      </c>
      <c r="Q13" s="23">
        <f>SUMIFS(收入流水表!J:J,收入流水表!I:I,$Q$3,收入流水表!A:A,A13)</f>
        <v>0</v>
      </c>
      <c r="R13" s="23">
        <f>SUMIFS(收入流水表!J:J,收入流水表!I:I,$R$3,收入流水表!A:A,A13)</f>
        <v>0</v>
      </c>
    </row>
    <row r="14" customHeight="1" spans="1:22">
      <c r="A14" s="125">
        <v>46214</v>
      </c>
      <c r="B14" s="126">
        <f>SUMIFS(收入流水表!J:J,收入流水表!C:C,$B$3,收入流水表!A:A,A14)</f>
        <v>9931.1</v>
      </c>
      <c r="C14" s="126">
        <f>SUMIFS(收入流水表!J:J,收入流水表!C:C,$C$3,收入流水表!A:A,A14)</f>
        <v>7818</v>
      </c>
      <c r="D14" s="126">
        <f>SUMIFS(收入流水表!J:J,收入流水表!C:C,$D$3,收入流水表!A:A,A14)</f>
        <v>8147</v>
      </c>
      <c r="E14" s="126">
        <f>SUMIFS(收入流水表!J:J,收入流水表!C:C,$E$3,收入流水表!A:A,A14)</f>
        <v>0</v>
      </c>
      <c r="F14" s="126">
        <f>SUMIFS(收入流水表!J:J,收入流水表!C:C,$F$3,收入流水表!A:A,A14)</f>
        <v>0</v>
      </c>
      <c r="G14" s="23">
        <f>SUMIFS(收入流水表!J:J,收入流水表!C:C,$G$3,收入流水表!A:A,A14)</f>
        <v>150</v>
      </c>
      <c r="H14" s="23">
        <f t="shared" si="0"/>
        <v>26046.1</v>
      </c>
      <c r="I14" s="23">
        <f>SUMIFS(收入流水表!J:J,收入流水表!C:C,$I$3,收入流水表!A:A,A14)</f>
        <v>6</v>
      </c>
      <c r="J14" s="23">
        <v>125</v>
      </c>
      <c r="K14" s="23">
        <f>SUMIFS(收入流水表!J:J,收入流水表!C:C,$K$3,收入流水表!A:A,A14)</f>
        <v>83.5</v>
      </c>
      <c r="L14" s="23">
        <f>SUMIFS(收入流水表!J:J,收入流水表!C:C,$L$3,收入流水表!A:A,A14)</f>
        <v>0</v>
      </c>
      <c r="M14" s="23">
        <f t="shared" si="1"/>
        <v>214.5</v>
      </c>
      <c r="N14" s="23">
        <f t="shared" si="2"/>
        <v>26260.6</v>
      </c>
      <c r="O14" s="23">
        <f>SUMIFS(收入流水表!J:J,收入流水表!I:I,$O$3,收入流水表!A:A,A14)</f>
        <v>14950</v>
      </c>
      <c r="P14" s="23">
        <f>SUMIFS(收入流水表!J:J,收入流水表!I:I,$P$3,收入流水表!A:A,A14)</f>
        <v>0</v>
      </c>
      <c r="Q14" s="23">
        <f>SUMIFS(收入流水表!J:J,收入流水表!I:I,$Q$3,收入流水表!A:A,A14)</f>
        <v>0</v>
      </c>
      <c r="R14" s="23">
        <f>SUMIFS(收入流水表!J:J,收入流水表!I:I,$R$3,收入流水表!A:A,A14)</f>
        <v>10</v>
      </c>
    </row>
    <row r="15" customHeight="1" spans="1:22">
      <c r="A15" s="125">
        <v>46215</v>
      </c>
      <c r="B15" s="126">
        <f>SUMIFS(收入流水表!J:J,收入流水表!C:C,$B$3,收入流水表!A:A,A15)</f>
        <v>5577</v>
      </c>
      <c r="C15" s="126">
        <f>SUMIFS(收入流水表!J:J,收入流水表!C:C,$C$3,收入流水表!A:A,A15)</f>
        <v>6999</v>
      </c>
      <c r="D15" s="126">
        <f>SUMIFS(收入流水表!J:J,收入流水表!C:C,$D$3,收入流水表!A:A,A15)</f>
        <v>3899</v>
      </c>
      <c r="E15" s="126">
        <f>SUMIFS(收入流水表!J:J,收入流水表!C:C,$E$3,收入流水表!A:A,A15)</f>
        <v>0</v>
      </c>
      <c r="F15" s="126">
        <f>SUMIFS(收入流水表!J:J,收入流水表!C:C,$F$3,收入流水表!A:A,A15)</f>
        <v>0</v>
      </c>
      <c r="G15" s="23">
        <f>SUMIFS(收入流水表!J:J,收入流水表!C:C,$G$3,收入流水表!A:A,A15)</f>
        <v>100</v>
      </c>
      <c r="H15" s="23">
        <f t="shared" si="0"/>
        <v>16575</v>
      </c>
      <c r="I15" s="23">
        <f>SUMIFS(收入流水表!J:J,收入流水表!C:C,$I$3,收入流水表!A:A,A15)</f>
        <v>11</v>
      </c>
      <c r="J15" s="23">
        <v>85</v>
      </c>
      <c r="K15" s="23">
        <f>SUMIFS(收入流水表!J:J,收入流水表!C:C,$K$3,收入流水表!A:A,A15)</f>
        <v>9.9</v>
      </c>
      <c r="L15" s="23">
        <f>SUMIFS(收入流水表!J:J,收入流水表!C:C,$L$3,收入流水表!A:A,A15)</f>
        <v>0</v>
      </c>
      <c r="M15" s="23">
        <f t="shared" si="1"/>
        <v>105.9</v>
      </c>
      <c r="N15" s="23">
        <f t="shared" si="2"/>
        <v>16680.9</v>
      </c>
      <c r="O15" s="23">
        <f>SUMIFS(收入流水表!J:J,收入流水表!I:I,$O$3,收入流水表!A:A,A15)</f>
        <v>8436</v>
      </c>
      <c r="P15" s="23">
        <f>SUMIFS(收入流水表!J:J,收入流水表!I:I,$P$3,收入流水表!A:A,A15)</f>
        <v>0</v>
      </c>
      <c r="Q15" s="23">
        <f>SUMIFS(收入流水表!J:J,收入流水表!I:I,$Q$3,收入流水表!A:A,A15)</f>
        <v>0</v>
      </c>
      <c r="R15" s="23">
        <f>SUMIFS(收入流水表!J:J,收入流水表!I:I,$R$3,收入流水表!A:A,A15)</f>
        <v>10</v>
      </c>
    </row>
    <row r="16" customHeight="1" spans="1:22">
      <c r="A16" s="125">
        <v>46216</v>
      </c>
      <c r="B16" s="126">
        <f>SUMIFS(收入流水表!J:J,收入流水表!C:C,$B$3,收入流水表!A:A,A16)</f>
        <v>0</v>
      </c>
      <c r="C16" s="126">
        <f>SUMIFS(收入流水表!J:J,收入流水表!C:C,$C$3,收入流水表!A:A,A16)</f>
        <v>0</v>
      </c>
      <c r="D16" s="126">
        <f>SUMIFS(收入流水表!J:J,收入流水表!C:C,$D$3,收入流水表!A:A,A16)</f>
        <v>0</v>
      </c>
      <c r="E16" s="126">
        <f>SUMIFS(收入流水表!J:J,收入流水表!C:C,$E$3,收入流水表!A:A,A16)</f>
        <v>0</v>
      </c>
      <c r="F16" s="126">
        <f>SUMIFS(收入流水表!J:J,收入流水表!C:C,$F$3,收入流水表!A:A,A16)</f>
        <v>0</v>
      </c>
      <c r="G16" s="23">
        <f>SUMIFS(收入流水表!J:J,收入流水表!C:C,$G$3,收入流水表!A:A,A16)</f>
        <v>0</v>
      </c>
      <c r="H16" s="23">
        <f t="shared" si="0"/>
        <v>0</v>
      </c>
      <c r="I16" s="23">
        <f>SUMIFS(收入流水表!J:J,收入流水表!C:C,$I$3,收入流水表!A:A,A16)</f>
        <v>0</v>
      </c>
      <c r="J16" s="23">
        <f>SUMIFS(收入流水表!J:J,收入流水表!C:C,$J$3,收入流水表!A:A,A16)</f>
        <v>0</v>
      </c>
      <c r="K16" s="23">
        <f>SUMIFS(收入流水表!J:J,收入流水表!C:C,$K$3,收入流水表!A:A,A16)</f>
        <v>0</v>
      </c>
      <c r="L16" s="23">
        <f>SUMIFS(收入流水表!J:J,收入流水表!C:C,$L$3,收入流水表!A:A,A16)</f>
        <v>0</v>
      </c>
      <c r="M16" s="23">
        <f t="shared" si="1"/>
        <v>0</v>
      </c>
      <c r="N16" s="23">
        <f t="shared" si="2"/>
        <v>0</v>
      </c>
      <c r="O16" s="23">
        <f>SUMIFS(收入流水表!J:J,收入流水表!I:I,$O$3,收入流水表!A:A,A16)</f>
        <v>0</v>
      </c>
      <c r="P16" s="23">
        <f>SUMIFS(收入流水表!J:J,收入流水表!I:I,$P$3,收入流水表!A:A,A16)</f>
        <v>0</v>
      </c>
      <c r="Q16" s="23">
        <f>SUMIFS(收入流水表!J:J,收入流水表!I:I,$Q$3,收入流水表!A:A,A16)</f>
        <v>0</v>
      </c>
      <c r="R16" s="23">
        <f>SUMIFS(收入流水表!J:J,收入流水表!I:I,$R$3,收入流水表!A:A,A16)</f>
        <v>0</v>
      </c>
    </row>
    <row r="17" customHeight="1" spans="1:18">
      <c r="A17" s="125">
        <v>46217</v>
      </c>
      <c r="B17" s="126">
        <f>SUMIFS(收入流水表!J:J,收入流水表!C:C,$B$3,收入流水表!A:A,A17)</f>
        <v>0</v>
      </c>
      <c r="C17" s="126">
        <f>SUMIFS(收入流水表!J:J,收入流水表!C:C,$C$3,收入流水表!A:A,A17)</f>
        <v>0</v>
      </c>
      <c r="D17" s="126">
        <f>SUMIFS(收入流水表!J:J,收入流水表!C:C,$D$3,收入流水表!A:A,A17)</f>
        <v>0</v>
      </c>
      <c r="E17" s="126">
        <f>SUMIFS(收入流水表!J:J,收入流水表!C:C,$E$3,收入流水表!A:A,A17)</f>
        <v>0</v>
      </c>
      <c r="F17" s="126">
        <f>SUMIFS(收入流水表!J:J,收入流水表!C:C,$F$3,收入流水表!A:A,A17)</f>
        <v>0</v>
      </c>
      <c r="G17" s="23">
        <f>SUMIFS(收入流水表!J:J,收入流水表!C:C,$G$3,收入流水表!A:A,A17)</f>
        <v>0</v>
      </c>
      <c r="H17" s="23">
        <f t="shared" si="0"/>
        <v>0</v>
      </c>
      <c r="I17" s="23">
        <f>SUMIFS(收入流水表!J:J,收入流水表!C:C,$I$3,收入流水表!A:A,A17)</f>
        <v>0</v>
      </c>
      <c r="J17" s="23">
        <f>SUMIFS(收入流水表!J:J,收入流水表!C:C,$J$3,收入流水表!A:A,A17)</f>
        <v>0</v>
      </c>
      <c r="K17" s="23">
        <f>SUMIFS(收入流水表!J:J,收入流水表!C:C,$K$3,收入流水表!A:A,A17)</f>
        <v>0</v>
      </c>
      <c r="L17" s="23">
        <f>SUMIFS(收入流水表!J:J,收入流水表!C:C,$L$3,收入流水表!A:A,A17)</f>
        <v>0</v>
      </c>
      <c r="M17" s="23">
        <f t="shared" si="1"/>
        <v>0</v>
      </c>
      <c r="N17" s="23">
        <f t="shared" si="2"/>
        <v>0</v>
      </c>
      <c r="O17" s="23">
        <f>SUMIFS(收入流水表!J:J,收入流水表!I:I,$O$3,收入流水表!A:A,A17)</f>
        <v>0</v>
      </c>
      <c r="P17" s="23">
        <f>SUMIFS(收入流水表!J:J,收入流水表!I:I,$P$3,收入流水表!A:A,A17)</f>
        <v>0</v>
      </c>
      <c r="Q17" s="23">
        <f>SUMIFS(收入流水表!J:J,收入流水表!I:I,$Q$3,收入流水表!A:A,A17)</f>
        <v>0</v>
      </c>
      <c r="R17" s="23">
        <f>SUMIFS(收入流水表!J:J,收入流水表!I:I,$R$3,收入流水表!A:A,A17)</f>
        <v>0</v>
      </c>
    </row>
    <row r="18" customHeight="1" spans="1:18">
      <c r="A18" s="125">
        <v>46218</v>
      </c>
      <c r="B18" s="126">
        <f>SUMIFS(收入流水表!J:J,收入流水表!C:C,$B$3,收入流水表!A:A,A18)</f>
        <v>0</v>
      </c>
      <c r="C18" s="126">
        <f>SUMIFS(收入流水表!J:J,收入流水表!C:C,$C$3,收入流水表!A:A,A18)</f>
        <v>0</v>
      </c>
      <c r="D18" s="126">
        <f>SUMIFS(收入流水表!J:J,收入流水表!C:C,$D$3,收入流水表!A:A,A18)</f>
        <v>0</v>
      </c>
      <c r="E18" s="126">
        <f>SUMIFS(收入流水表!J:J,收入流水表!C:C,$E$3,收入流水表!A:A,A18)</f>
        <v>0</v>
      </c>
      <c r="F18" s="126">
        <f>SUMIFS(收入流水表!J:J,收入流水表!C:C,$F$3,收入流水表!A:A,A18)</f>
        <v>0</v>
      </c>
      <c r="G18" s="23">
        <f>SUMIFS(收入流水表!J:J,收入流水表!C:C,$G$3,收入流水表!A:A,A18)</f>
        <v>0</v>
      </c>
      <c r="H18" s="23">
        <f t="shared" si="0"/>
        <v>0</v>
      </c>
      <c r="I18" s="23">
        <f>SUMIFS(收入流水表!J:J,收入流水表!C:C,$I$3,收入流水表!A:A,A18)</f>
        <v>0</v>
      </c>
      <c r="J18" s="23">
        <f>SUMIFS(收入流水表!J:J,收入流水表!C:C,$J$3,收入流水表!A:A,A18)</f>
        <v>0</v>
      </c>
      <c r="K18" s="23">
        <f>SUMIFS(收入流水表!J:J,收入流水表!C:C,$K$3,收入流水表!A:A,A18)</f>
        <v>0</v>
      </c>
      <c r="L18" s="23">
        <f>SUMIFS(收入流水表!J:J,收入流水表!C:C,$L$3,收入流水表!A:A,A18)</f>
        <v>0</v>
      </c>
      <c r="M18" s="23">
        <f t="shared" si="1"/>
        <v>0</v>
      </c>
      <c r="N18" s="23">
        <f t="shared" si="2"/>
        <v>0</v>
      </c>
      <c r="O18" s="23">
        <f>SUMIFS(收入流水表!J:J,收入流水表!I:I,$O$3,收入流水表!A:A,A18)</f>
        <v>0</v>
      </c>
      <c r="P18" s="23">
        <f>SUMIFS(收入流水表!J:J,收入流水表!I:I,$P$3,收入流水表!A:A,A18)</f>
        <v>0</v>
      </c>
      <c r="Q18" s="23">
        <f>SUMIFS(收入流水表!J:J,收入流水表!I:I,$Q$3,收入流水表!A:A,A18)</f>
        <v>0</v>
      </c>
      <c r="R18" s="23">
        <f>SUMIFS(收入流水表!J:J,收入流水表!I:I,$R$3,收入流水表!A:A,A18)</f>
        <v>0</v>
      </c>
    </row>
    <row r="19" customHeight="1" spans="1:18">
      <c r="A19" s="125">
        <v>46219</v>
      </c>
      <c r="B19" s="126">
        <f>SUMIFS(收入流水表!J:J,收入流水表!C:C,$B$3,收入流水表!A:A,A19)</f>
        <v>0</v>
      </c>
      <c r="C19" s="126">
        <f>SUMIFS(收入流水表!J:J,收入流水表!C:C,$C$3,收入流水表!A:A,A19)</f>
        <v>0</v>
      </c>
      <c r="D19" s="126">
        <f>SUMIFS(收入流水表!J:J,收入流水表!C:C,$D$3,收入流水表!A:A,A19)</f>
        <v>0</v>
      </c>
      <c r="E19" s="126">
        <f>SUMIFS(收入流水表!J:J,收入流水表!C:C,$E$3,收入流水表!A:A,A19)</f>
        <v>0</v>
      </c>
      <c r="F19" s="126">
        <f>SUMIFS(收入流水表!J:J,收入流水表!C:C,$F$3,收入流水表!A:A,A19)</f>
        <v>0</v>
      </c>
      <c r="G19" s="23">
        <f>SUMIFS(收入流水表!J:J,收入流水表!C:C,$G$3,收入流水表!A:A,A19)</f>
        <v>0</v>
      </c>
      <c r="H19" s="23">
        <f t="shared" si="0"/>
        <v>0</v>
      </c>
      <c r="I19" s="23">
        <f>SUMIFS(收入流水表!J:J,收入流水表!C:C,$I$3,收入流水表!A:A,A19)</f>
        <v>0</v>
      </c>
      <c r="J19" s="23">
        <f>SUMIFS(收入流水表!J:J,收入流水表!C:C,$J$3,收入流水表!A:A,A19)</f>
        <v>0</v>
      </c>
      <c r="K19" s="23">
        <f>SUMIFS(收入流水表!J:J,收入流水表!C:C,$K$3,收入流水表!A:A,A19)</f>
        <v>0</v>
      </c>
      <c r="L19" s="23">
        <f>SUMIFS(收入流水表!J:J,收入流水表!C:C,$L$3,收入流水表!A:A,A19)</f>
        <v>0</v>
      </c>
      <c r="M19" s="23">
        <f t="shared" si="1"/>
        <v>0</v>
      </c>
      <c r="N19" s="23">
        <f t="shared" si="2"/>
        <v>0</v>
      </c>
      <c r="O19" s="23">
        <f>SUMIFS(收入流水表!J:J,收入流水表!I:I,$O$3,收入流水表!A:A,A19)</f>
        <v>0</v>
      </c>
      <c r="P19" s="23">
        <f>SUMIFS(收入流水表!J:J,收入流水表!I:I,$P$3,收入流水表!A:A,A19)</f>
        <v>0</v>
      </c>
      <c r="Q19" s="23">
        <f>SUMIFS(收入流水表!J:J,收入流水表!I:I,$Q$3,收入流水表!A:A,A19)</f>
        <v>0</v>
      </c>
      <c r="R19" s="23">
        <f>SUMIFS(收入流水表!J:J,收入流水表!I:I,$R$3,收入流水表!A:A,A19)</f>
        <v>0</v>
      </c>
    </row>
    <row r="20" customHeight="1" spans="1:18">
      <c r="A20" s="125">
        <v>46220</v>
      </c>
      <c r="B20" s="126">
        <f>SUMIFS(收入流水表!J:J,收入流水表!C:C,$B$3,收入流水表!A:A,A20)</f>
        <v>0</v>
      </c>
      <c r="C20" s="126">
        <f>SUMIFS(收入流水表!J:J,收入流水表!C:C,$C$3,收入流水表!A:A,A20)</f>
        <v>0</v>
      </c>
      <c r="D20" s="126">
        <f>SUMIFS(收入流水表!J:J,收入流水表!C:C,$D$3,收入流水表!A:A,A20)</f>
        <v>0</v>
      </c>
      <c r="E20" s="126">
        <f>SUMIFS(收入流水表!J:J,收入流水表!C:C,$E$3,收入流水表!A:A,A20)</f>
        <v>0</v>
      </c>
      <c r="F20" s="126">
        <f>SUMIFS(收入流水表!J:J,收入流水表!C:C,$F$3,收入流水表!A:A,A20)</f>
        <v>0</v>
      </c>
      <c r="G20" s="23">
        <f>SUMIFS(收入流水表!J:J,收入流水表!C:C,$G$3,收入流水表!A:A,A20)</f>
        <v>0</v>
      </c>
      <c r="H20" s="23">
        <f t="shared" si="0"/>
        <v>0</v>
      </c>
      <c r="I20" s="23">
        <f>SUMIFS(收入流水表!J:J,收入流水表!C:C,$I$3,收入流水表!A:A,A20)</f>
        <v>0</v>
      </c>
      <c r="J20" s="23">
        <f>SUMIFS(收入流水表!J:J,收入流水表!C:C,$J$3,收入流水表!A:A,A20)</f>
        <v>0</v>
      </c>
      <c r="K20" s="23">
        <f>SUMIFS(收入流水表!J:J,收入流水表!C:C,$K$3,收入流水表!A:A,A20)</f>
        <v>0</v>
      </c>
      <c r="L20" s="23">
        <f>SUMIFS(收入流水表!J:J,收入流水表!C:C,$L$3,收入流水表!A:A,A20)</f>
        <v>0</v>
      </c>
      <c r="M20" s="23">
        <f t="shared" si="1"/>
        <v>0</v>
      </c>
      <c r="N20" s="23">
        <f t="shared" si="2"/>
        <v>0</v>
      </c>
      <c r="O20" s="23">
        <f>SUMIFS(收入流水表!J:J,收入流水表!I:I,$O$3,收入流水表!A:A,A20)</f>
        <v>0</v>
      </c>
      <c r="P20" s="23">
        <f>SUMIFS(收入流水表!J:J,收入流水表!I:I,$P$3,收入流水表!A:A,A20)</f>
        <v>0</v>
      </c>
      <c r="Q20" s="23">
        <f>SUMIFS(收入流水表!J:J,收入流水表!I:I,$Q$3,收入流水表!A:A,A20)</f>
        <v>0</v>
      </c>
      <c r="R20" s="23">
        <f>SUMIFS(收入流水表!J:J,收入流水表!I:I,$R$3,收入流水表!A:A,A20)</f>
        <v>0</v>
      </c>
    </row>
    <row r="21" customHeight="1" spans="1:18">
      <c r="A21" s="125">
        <v>46221</v>
      </c>
      <c r="B21" s="126">
        <f>SUMIFS(收入流水表!J:J,收入流水表!C:C,$B$3,收入流水表!A:A,A21)</f>
        <v>0</v>
      </c>
      <c r="C21" s="126">
        <f>SUMIFS(收入流水表!J:J,收入流水表!C:C,$C$3,收入流水表!A:A,A21)</f>
        <v>0</v>
      </c>
      <c r="D21" s="126">
        <f>SUMIFS(收入流水表!J:J,收入流水表!C:C,$D$3,收入流水表!A:A,A21)</f>
        <v>0</v>
      </c>
      <c r="E21" s="126">
        <f>SUMIFS(收入流水表!J:J,收入流水表!C:C,$E$3,收入流水表!A:A,A21)</f>
        <v>0</v>
      </c>
      <c r="F21" s="126">
        <f>SUMIFS(收入流水表!J:J,收入流水表!C:C,$F$3,收入流水表!A:A,A21)</f>
        <v>0</v>
      </c>
      <c r="G21" s="23">
        <f>SUMIFS(收入流水表!J:J,收入流水表!C:C,$G$3,收入流水表!A:A,A21)</f>
        <v>0</v>
      </c>
      <c r="H21" s="23">
        <f t="shared" si="0"/>
        <v>0</v>
      </c>
      <c r="I21" s="23">
        <f>SUMIFS(收入流水表!J:J,收入流水表!C:C,$I$3,收入流水表!A:A,A21)</f>
        <v>0</v>
      </c>
      <c r="J21" s="23">
        <f>SUMIFS(收入流水表!J:J,收入流水表!C:C,$J$3,收入流水表!A:A,A21)</f>
        <v>0</v>
      </c>
      <c r="K21" s="23">
        <f>SUMIFS(收入流水表!J:J,收入流水表!C:C,$K$3,收入流水表!A:A,A21)</f>
        <v>0</v>
      </c>
      <c r="L21" s="23">
        <f>SUMIFS(收入流水表!J:J,收入流水表!C:C,$L$3,收入流水表!A:A,A21)</f>
        <v>0</v>
      </c>
      <c r="M21" s="23">
        <f t="shared" si="1"/>
        <v>0</v>
      </c>
      <c r="N21" s="23">
        <f t="shared" si="2"/>
        <v>0</v>
      </c>
      <c r="O21" s="23">
        <f>SUMIFS(收入流水表!J:J,收入流水表!I:I,$O$3,收入流水表!A:A,A21)</f>
        <v>0</v>
      </c>
      <c r="P21" s="23">
        <f>SUMIFS(收入流水表!J:J,收入流水表!I:I,$P$3,收入流水表!A:A,A21)</f>
        <v>0</v>
      </c>
      <c r="Q21" s="23">
        <f>SUMIFS(收入流水表!J:J,收入流水表!I:I,$Q$3,收入流水表!A:A,A21)</f>
        <v>0</v>
      </c>
      <c r="R21" s="23">
        <f>SUMIFS(收入流水表!J:J,收入流水表!I:I,$R$3,收入流水表!A:A,A21)</f>
        <v>0</v>
      </c>
    </row>
    <row r="22" customHeight="1" spans="1:18">
      <c r="A22" s="125">
        <v>46222</v>
      </c>
      <c r="B22" s="126">
        <f>SUMIFS(收入流水表!J:J,收入流水表!C:C,$B$3,收入流水表!A:A,A22)</f>
        <v>0</v>
      </c>
      <c r="C22" s="126">
        <f>SUMIFS(收入流水表!J:J,收入流水表!C:C,$C$3,收入流水表!A:A,A22)</f>
        <v>0</v>
      </c>
      <c r="D22" s="126">
        <f>SUMIFS(收入流水表!J:J,收入流水表!C:C,$D$3,收入流水表!A:A,A22)</f>
        <v>0</v>
      </c>
      <c r="E22" s="126">
        <f>SUMIFS(收入流水表!J:J,收入流水表!C:C,$E$3,收入流水表!A:A,A22)</f>
        <v>0</v>
      </c>
      <c r="F22" s="126">
        <f>SUMIFS(收入流水表!J:J,收入流水表!C:C,$F$3,收入流水表!A:A,A22)</f>
        <v>0</v>
      </c>
      <c r="G22" s="23">
        <f>SUMIFS(收入流水表!J:J,收入流水表!C:C,$G$3,收入流水表!A:A,A22)</f>
        <v>0</v>
      </c>
      <c r="H22" s="23">
        <f t="shared" si="0"/>
        <v>0</v>
      </c>
      <c r="I22" s="23">
        <f>SUMIFS(收入流水表!J:J,收入流水表!C:C,$I$3,收入流水表!A:A,A22)</f>
        <v>0</v>
      </c>
      <c r="J22" s="23">
        <f>SUMIFS(收入流水表!J:J,收入流水表!C:C,$J$3,收入流水表!A:A,A22)</f>
        <v>0</v>
      </c>
      <c r="K22" s="23">
        <f>SUMIFS(收入流水表!J:J,收入流水表!C:C,$K$3,收入流水表!A:A,A22)</f>
        <v>0</v>
      </c>
      <c r="L22" s="23">
        <f>SUMIFS(收入流水表!J:J,收入流水表!C:C,$L$3,收入流水表!A:A,A22)</f>
        <v>0</v>
      </c>
      <c r="M22" s="23">
        <f t="shared" si="1"/>
        <v>0</v>
      </c>
      <c r="N22" s="23">
        <f t="shared" si="2"/>
        <v>0</v>
      </c>
      <c r="O22" s="23">
        <f>SUMIFS(收入流水表!J:J,收入流水表!I:I,$O$3,收入流水表!A:A,A22)</f>
        <v>0</v>
      </c>
      <c r="P22" s="23">
        <f>SUMIFS(收入流水表!J:J,收入流水表!I:I,$P$3,收入流水表!A:A,A22)</f>
        <v>0</v>
      </c>
      <c r="Q22" s="23">
        <f>SUMIFS(收入流水表!J:J,收入流水表!I:I,$Q$3,收入流水表!A:A,A22)</f>
        <v>0</v>
      </c>
      <c r="R22" s="23">
        <f>SUMIFS(收入流水表!J:J,收入流水表!I:I,$R$3,收入流水表!A:A,A22)</f>
        <v>0</v>
      </c>
    </row>
    <row r="23" customHeight="1" spans="1:18">
      <c r="A23" s="125">
        <v>46223</v>
      </c>
      <c r="B23" s="126">
        <f>SUMIFS(收入流水表!J:J,收入流水表!C:C,$B$3,收入流水表!A:A,A23)</f>
        <v>0</v>
      </c>
      <c r="C23" s="126">
        <f>SUMIFS(收入流水表!J:J,收入流水表!C:C,$C$3,收入流水表!A:A,A23)</f>
        <v>0</v>
      </c>
      <c r="D23" s="126">
        <f>SUMIFS(收入流水表!J:J,收入流水表!C:C,$D$3,收入流水表!A:A,A23)</f>
        <v>0</v>
      </c>
      <c r="E23" s="126">
        <f>SUMIFS(收入流水表!J:J,收入流水表!C:C,$E$3,收入流水表!A:A,A23)</f>
        <v>0</v>
      </c>
      <c r="F23" s="126">
        <f>SUMIFS(收入流水表!J:J,收入流水表!C:C,$F$3,收入流水表!A:A,A23)</f>
        <v>0</v>
      </c>
      <c r="G23" s="23">
        <f>SUMIFS(收入流水表!J:J,收入流水表!C:C,$G$3,收入流水表!A:A,A23)</f>
        <v>0</v>
      </c>
      <c r="H23" s="23">
        <f t="shared" si="0"/>
        <v>0</v>
      </c>
      <c r="I23" s="23">
        <f>SUMIFS(收入流水表!J:J,收入流水表!C:C,$I$3,收入流水表!A:A,A23)</f>
        <v>0</v>
      </c>
      <c r="J23" s="23">
        <f>SUMIFS(收入流水表!J:J,收入流水表!C:C,$J$3,收入流水表!A:A,A23)</f>
        <v>0</v>
      </c>
      <c r="K23" s="23">
        <f>SUMIFS(收入流水表!J:J,收入流水表!C:C,$K$3,收入流水表!A:A,A23)</f>
        <v>0</v>
      </c>
      <c r="L23" s="23">
        <f>SUMIFS(收入流水表!J:J,收入流水表!C:C,$L$3,收入流水表!A:A,A23)</f>
        <v>0</v>
      </c>
      <c r="M23" s="23">
        <f t="shared" si="1"/>
        <v>0</v>
      </c>
      <c r="N23" s="23">
        <f t="shared" si="2"/>
        <v>0</v>
      </c>
      <c r="O23" s="23">
        <f>SUMIFS(收入流水表!J:J,收入流水表!I:I,$O$3,收入流水表!A:A,A23)</f>
        <v>0</v>
      </c>
      <c r="P23" s="23">
        <f>SUMIFS(收入流水表!J:J,收入流水表!I:I,$P$3,收入流水表!A:A,A23)</f>
        <v>0</v>
      </c>
      <c r="Q23" s="23">
        <f>SUMIFS(收入流水表!J:J,收入流水表!I:I,$Q$3,收入流水表!A:A,A23)</f>
        <v>0</v>
      </c>
      <c r="R23" s="23">
        <f>SUMIFS(收入流水表!J:J,收入流水表!I:I,$R$3,收入流水表!A:A,A23)</f>
        <v>0</v>
      </c>
    </row>
    <row r="24" customHeight="1" spans="1:18">
      <c r="A24" s="125">
        <v>46224</v>
      </c>
      <c r="B24" s="126">
        <f>SUMIFS(收入流水表!J:J,收入流水表!C:C,$B$3,收入流水表!A:A,A24)</f>
        <v>0</v>
      </c>
      <c r="C24" s="126">
        <f>SUMIFS(收入流水表!J:J,收入流水表!C:C,$C$3,收入流水表!A:A,A24)</f>
        <v>0</v>
      </c>
      <c r="D24" s="126">
        <f>SUMIFS(收入流水表!J:J,收入流水表!C:C,$D$3,收入流水表!A:A,A24)</f>
        <v>0</v>
      </c>
      <c r="E24" s="126">
        <f>SUMIFS(收入流水表!J:J,收入流水表!C:C,$E$3,收入流水表!A:A,A24)</f>
        <v>0</v>
      </c>
      <c r="F24" s="126">
        <f>SUMIFS(收入流水表!J:J,收入流水表!C:C,$F$3,收入流水表!A:A,A24)</f>
        <v>0</v>
      </c>
      <c r="G24" s="23">
        <f>SUMIFS(收入流水表!J:J,收入流水表!C:C,$G$3,收入流水表!A:A,A24)</f>
        <v>0</v>
      </c>
      <c r="H24" s="23">
        <f t="shared" si="0"/>
        <v>0</v>
      </c>
      <c r="I24" s="23">
        <f>SUMIFS(收入流水表!J:J,收入流水表!C:C,$I$3,收入流水表!A:A,A24)</f>
        <v>0</v>
      </c>
      <c r="J24" s="23">
        <f>SUMIFS(收入流水表!J:J,收入流水表!C:C,$J$3,收入流水表!A:A,A24)</f>
        <v>0</v>
      </c>
      <c r="K24" s="23">
        <f>SUMIFS(收入流水表!J:J,收入流水表!C:C,$K$3,收入流水表!A:A,A24)</f>
        <v>0</v>
      </c>
      <c r="L24" s="23">
        <f>SUMIFS(收入流水表!J:J,收入流水表!C:C,$L$3,收入流水表!A:A,A24)</f>
        <v>0</v>
      </c>
      <c r="M24" s="23">
        <f t="shared" si="1"/>
        <v>0</v>
      </c>
      <c r="N24" s="23">
        <f t="shared" si="2"/>
        <v>0</v>
      </c>
      <c r="O24" s="23">
        <f>SUMIFS(收入流水表!J:J,收入流水表!I:I,$O$3,收入流水表!A:A,A24)</f>
        <v>0</v>
      </c>
      <c r="P24" s="23">
        <f>SUMIFS(收入流水表!J:J,收入流水表!I:I,$P$3,收入流水表!A:A,A24)</f>
        <v>0</v>
      </c>
      <c r="Q24" s="23">
        <f>SUMIFS(收入流水表!J:J,收入流水表!I:I,$Q$3,收入流水表!A:A,A24)</f>
        <v>0</v>
      </c>
      <c r="R24" s="23">
        <f>SUMIFS(收入流水表!J:J,收入流水表!I:I,$R$3,收入流水表!A:A,A24)</f>
        <v>0</v>
      </c>
    </row>
    <row r="25" customHeight="1" spans="1:18">
      <c r="A25" s="125">
        <v>46225</v>
      </c>
      <c r="B25" s="126">
        <f>SUMIFS(收入流水表!J:J,收入流水表!C:C,$B$3,收入流水表!A:A,A25)</f>
        <v>0</v>
      </c>
      <c r="C25" s="126">
        <f>SUMIFS(收入流水表!J:J,收入流水表!C:C,$C$3,收入流水表!A:A,A25)</f>
        <v>0</v>
      </c>
      <c r="D25" s="126">
        <f>SUMIFS(收入流水表!J:J,收入流水表!C:C,$D$3,收入流水表!A:A,A25)</f>
        <v>0</v>
      </c>
      <c r="E25" s="126">
        <f>SUMIFS(收入流水表!J:J,收入流水表!C:C,$E$3,收入流水表!A:A,A25)</f>
        <v>0</v>
      </c>
      <c r="F25" s="126">
        <f>SUMIFS(收入流水表!J:J,收入流水表!C:C,$F$3,收入流水表!A:A,A25)</f>
        <v>0</v>
      </c>
      <c r="G25" s="23">
        <f>SUMIFS(收入流水表!J:J,收入流水表!C:C,$G$3,收入流水表!A:A,A25)</f>
        <v>0</v>
      </c>
      <c r="H25" s="23">
        <f t="shared" si="0"/>
        <v>0</v>
      </c>
      <c r="I25" s="23">
        <f>SUMIFS(收入流水表!J:J,收入流水表!C:C,$I$3,收入流水表!A:A,A25)</f>
        <v>0</v>
      </c>
      <c r="J25" s="23">
        <f>SUMIFS(收入流水表!J:J,收入流水表!C:C,$J$3,收入流水表!A:A,A25)</f>
        <v>0</v>
      </c>
      <c r="K25" s="23">
        <f>SUMIFS(收入流水表!J:J,收入流水表!C:C,$K$3,收入流水表!A:A,A25)</f>
        <v>0</v>
      </c>
      <c r="L25" s="23">
        <f>SUMIFS(收入流水表!J:J,收入流水表!C:C,$L$3,收入流水表!A:A,A25)</f>
        <v>0</v>
      </c>
      <c r="M25" s="23">
        <f t="shared" si="1"/>
        <v>0</v>
      </c>
      <c r="N25" s="23">
        <f t="shared" si="2"/>
        <v>0</v>
      </c>
      <c r="O25" s="23">
        <f>SUMIFS(收入流水表!J:J,收入流水表!I:I,$O$3,收入流水表!A:A,A25)</f>
        <v>0</v>
      </c>
      <c r="P25" s="23">
        <f>SUMIFS(收入流水表!J:J,收入流水表!I:I,$P$3,收入流水表!A:A,A25)</f>
        <v>0</v>
      </c>
      <c r="Q25" s="23">
        <f>SUMIFS(收入流水表!J:J,收入流水表!I:I,$Q$3,收入流水表!A:A,A25)</f>
        <v>0</v>
      </c>
      <c r="R25" s="23">
        <f>SUMIFS(收入流水表!J:J,收入流水表!I:I,$R$3,收入流水表!A:A,A25)</f>
        <v>0</v>
      </c>
    </row>
    <row r="26" customHeight="1" spans="1:18">
      <c r="A26" s="125">
        <v>46226</v>
      </c>
      <c r="B26" s="126">
        <f>SUMIFS(收入流水表!J:J,收入流水表!C:C,$B$3,收入流水表!A:A,A26)</f>
        <v>0</v>
      </c>
      <c r="C26" s="126">
        <f>SUMIFS(收入流水表!J:J,收入流水表!C:C,$C$3,收入流水表!A:A,A26)</f>
        <v>0</v>
      </c>
      <c r="D26" s="126">
        <f>SUMIFS(收入流水表!J:J,收入流水表!C:C,$D$3,收入流水表!A:A,A26)</f>
        <v>0</v>
      </c>
      <c r="E26" s="126">
        <f>SUMIFS(收入流水表!J:J,收入流水表!C:C,$E$3,收入流水表!A:A,A26)</f>
        <v>0</v>
      </c>
      <c r="F26" s="126">
        <f>SUMIFS(收入流水表!J:J,收入流水表!C:C,$F$3,收入流水表!A:A,A26)</f>
        <v>0</v>
      </c>
      <c r="G26" s="23">
        <f>SUMIFS(收入流水表!J:J,收入流水表!C:C,$G$3,收入流水表!A:A,A26)</f>
        <v>0</v>
      </c>
      <c r="H26" s="23">
        <f t="shared" si="0"/>
        <v>0</v>
      </c>
      <c r="I26" s="23">
        <f>SUMIFS(收入流水表!J:J,收入流水表!C:C,$I$3,收入流水表!A:A,A26)</f>
        <v>0</v>
      </c>
      <c r="J26" s="23">
        <f>SUMIFS(收入流水表!J:J,收入流水表!C:C,$J$3,收入流水表!A:A,A26)</f>
        <v>0</v>
      </c>
      <c r="K26" s="23">
        <f>SUMIFS(收入流水表!J:J,收入流水表!C:C,$K$3,收入流水表!A:A,A26)</f>
        <v>0</v>
      </c>
      <c r="L26" s="23">
        <f>SUMIFS(收入流水表!J:J,收入流水表!C:C,$L$3,收入流水表!A:A,A26)</f>
        <v>0</v>
      </c>
      <c r="M26" s="23">
        <f t="shared" si="1"/>
        <v>0</v>
      </c>
      <c r="N26" s="23">
        <f t="shared" si="2"/>
        <v>0</v>
      </c>
      <c r="O26" s="23">
        <f>SUMIFS(收入流水表!J:J,收入流水表!I:I,$O$3,收入流水表!A:A,A26)</f>
        <v>0</v>
      </c>
      <c r="P26" s="23">
        <f>SUMIFS(收入流水表!J:J,收入流水表!I:I,$P$3,收入流水表!A:A,A26)</f>
        <v>0</v>
      </c>
      <c r="Q26" s="23">
        <f>SUMIFS(收入流水表!J:J,收入流水表!I:I,$Q$3,收入流水表!A:A,A26)</f>
        <v>0</v>
      </c>
      <c r="R26" s="23">
        <f>SUMIFS(收入流水表!J:J,收入流水表!I:I,$R$3,收入流水表!A:A,A26)</f>
        <v>0</v>
      </c>
    </row>
    <row r="27" customHeight="1" spans="1:18">
      <c r="A27" s="125">
        <v>46227</v>
      </c>
      <c r="B27" s="126">
        <f>SUMIFS(收入流水表!J:J,收入流水表!C:C,$B$3,收入流水表!A:A,A27)</f>
        <v>0</v>
      </c>
      <c r="C27" s="126">
        <f>SUMIFS(收入流水表!J:J,收入流水表!C:C,$C$3,收入流水表!A:A,A27)</f>
        <v>0</v>
      </c>
      <c r="D27" s="126">
        <f>SUMIFS(收入流水表!J:J,收入流水表!C:C,$D$3,收入流水表!A:A,A27)</f>
        <v>0</v>
      </c>
      <c r="E27" s="126">
        <f>SUMIFS(收入流水表!J:J,收入流水表!C:C,$E$3,收入流水表!A:A,A27)</f>
        <v>0</v>
      </c>
      <c r="F27" s="126">
        <f>SUMIFS(收入流水表!J:J,收入流水表!C:C,$F$3,收入流水表!A:A,A27)</f>
        <v>0</v>
      </c>
      <c r="G27" s="23">
        <f>SUMIFS(收入流水表!J:J,收入流水表!C:C,$G$3,收入流水表!A:A,A27)</f>
        <v>0</v>
      </c>
      <c r="H27" s="23">
        <f t="shared" si="0"/>
        <v>0</v>
      </c>
      <c r="I27" s="23">
        <f>SUMIFS(收入流水表!J:J,收入流水表!C:C,$I$3,收入流水表!A:A,A27)</f>
        <v>0</v>
      </c>
      <c r="J27" s="23">
        <f>SUMIFS(收入流水表!J:J,收入流水表!C:C,$J$3,收入流水表!A:A,A27)</f>
        <v>0</v>
      </c>
      <c r="K27" s="23">
        <f>SUMIFS(收入流水表!J:J,收入流水表!C:C,$K$3,收入流水表!A:A,A27)</f>
        <v>0</v>
      </c>
      <c r="L27" s="23">
        <f>SUMIFS(收入流水表!J:J,收入流水表!C:C,$L$3,收入流水表!A:A,A27)</f>
        <v>0</v>
      </c>
      <c r="M27" s="23">
        <f t="shared" si="1"/>
        <v>0</v>
      </c>
      <c r="N27" s="23">
        <f t="shared" si="2"/>
        <v>0</v>
      </c>
      <c r="O27" s="23">
        <f>SUMIFS(收入流水表!J:J,收入流水表!I:I,$O$3,收入流水表!A:A,A27)</f>
        <v>0</v>
      </c>
      <c r="P27" s="23">
        <f>SUMIFS(收入流水表!J:J,收入流水表!I:I,$P$3,收入流水表!A:A,A27)</f>
        <v>0</v>
      </c>
      <c r="Q27" s="23">
        <f>SUMIFS(收入流水表!J:J,收入流水表!I:I,$Q$3,收入流水表!A:A,A27)</f>
        <v>0</v>
      </c>
      <c r="R27" s="23">
        <f>SUMIFS(收入流水表!J:J,收入流水表!I:I,$R$3,收入流水表!A:A,A27)</f>
        <v>0</v>
      </c>
    </row>
    <row r="28" customHeight="1" spans="1:18">
      <c r="A28" s="125">
        <v>46228</v>
      </c>
      <c r="B28" s="126">
        <f>SUMIFS(收入流水表!J:J,收入流水表!C:C,$B$3,收入流水表!A:A,A28)</f>
        <v>0</v>
      </c>
      <c r="C28" s="126">
        <f>SUMIFS(收入流水表!J:J,收入流水表!C:C,$C$3,收入流水表!A:A,A28)</f>
        <v>0</v>
      </c>
      <c r="D28" s="126">
        <f>SUMIFS(收入流水表!J:J,收入流水表!C:C,$D$3,收入流水表!A:A,A28)</f>
        <v>0</v>
      </c>
      <c r="E28" s="126">
        <f>SUMIFS(收入流水表!J:J,收入流水表!C:C,$E$3,收入流水表!A:A,A28)</f>
        <v>0</v>
      </c>
      <c r="F28" s="126">
        <f>SUMIFS(收入流水表!J:J,收入流水表!C:C,$F$3,收入流水表!A:A,A28)</f>
        <v>0</v>
      </c>
      <c r="G28" s="23">
        <f>SUMIFS(收入流水表!J:J,收入流水表!C:C,$G$3,收入流水表!A:A,A28)</f>
        <v>0</v>
      </c>
      <c r="H28" s="23">
        <f t="shared" si="0"/>
        <v>0</v>
      </c>
      <c r="I28" s="23">
        <f>SUMIFS(收入流水表!J:J,收入流水表!C:C,$I$3,收入流水表!A:A,A28)</f>
        <v>0</v>
      </c>
      <c r="J28" s="23">
        <f>SUMIFS(收入流水表!J:J,收入流水表!C:C,$J$3,收入流水表!A:A,A28)</f>
        <v>0</v>
      </c>
      <c r="K28" s="23">
        <f>SUMIFS(收入流水表!J:J,收入流水表!C:C,$K$3,收入流水表!A:A,A28)</f>
        <v>0</v>
      </c>
      <c r="L28" s="23">
        <f>SUMIFS(收入流水表!J:J,收入流水表!C:C,$L$3,收入流水表!A:A,A28)</f>
        <v>0</v>
      </c>
      <c r="M28" s="23">
        <f t="shared" si="1"/>
        <v>0</v>
      </c>
      <c r="N28" s="23">
        <f t="shared" si="2"/>
        <v>0</v>
      </c>
      <c r="O28" s="23">
        <f>SUMIFS(收入流水表!J:J,收入流水表!I:I,$O$3,收入流水表!A:A,A28)</f>
        <v>0</v>
      </c>
      <c r="P28" s="23">
        <f>SUMIFS(收入流水表!J:J,收入流水表!I:I,$P$3,收入流水表!A:A,A28)</f>
        <v>0</v>
      </c>
      <c r="Q28" s="23">
        <f>SUMIFS(收入流水表!J:J,收入流水表!I:I,$Q$3,收入流水表!A:A,A28)</f>
        <v>0</v>
      </c>
      <c r="R28" s="23">
        <f>SUMIFS(收入流水表!J:J,收入流水表!I:I,$R$3,收入流水表!A:A,A28)</f>
        <v>0</v>
      </c>
    </row>
    <row r="29" customHeight="1" spans="1:18">
      <c r="A29" s="125">
        <v>46229</v>
      </c>
      <c r="B29" s="126">
        <f>SUMIFS(收入流水表!J:J,收入流水表!C:C,$B$3,收入流水表!A:A,A29)</f>
        <v>0</v>
      </c>
      <c r="C29" s="126">
        <f>SUMIFS(收入流水表!J:J,收入流水表!C:C,$C$3,收入流水表!A:A,A29)</f>
        <v>0</v>
      </c>
      <c r="D29" s="126">
        <f>SUMIFS(收入流水表!J:J,收入流水表!C:C,$D$3,收入流水表!A:A,A29)</f>
        <v>0</v>
      </c>
      <c r="E29" s="126">
        <f>SUMIFS(收入流水表!J:J,收入流水表!C:C,$E$3,收入流水表!A:A,A29)</f>
        <v>0</v>
      </c>
      <c r="F29" s="126">
        <f>SUMIFS(收入流水表!J:J,收入流水表!C:C,$F$3,收入流水表!A:A,A29)</f>
        <v>0</v>
      </c>
      <c r="G29" s="23">
        <f>SUMIFS(收入流水表!J:J,收入流水表!C:C,$G$3,收入流水表!A:A,A29)</f>
        <v>0</v>
      </c>
      <c r="H29" s="23">
        <f t="shared" si="0"/>
        <v>0</v>
      </c>
      <c r="I29" s="23">
        <f>SUMIFS(收入流水表!J:J,收入流水表!C:C,$I$3,收入流水表!A:A,A29)</f>
        <v>0</v>
      </c>
      <c r="J29" s="23">
        <f>SUMIFS(收入流水表!J:J,收入流水表!C:C,$J$3,收入流水表!A:A,A29)</f>
        <v>0</v>
      </c>
      <c r="K29" s="23">
        <f>SUMIFS(收入流水表!J:J,收入流水表!C:C,$K$3,收入流水表!A:A,A29)</f>
        <v>0</v>
      </c>
      <c r="L29" s="23">
        <f>SUMIFS(收入流水表!J:J,收入流水表!C:C,$L$3,收入流水表!A:A,A29)</f>
        <v>0</v>
      </c>
      <c r="M29" s="23">
        <f t="shared" si="1"/>
        <v>0</v>
      </c>
      <c r="N29" s="23">
        <f t="shared" si="2"/>
        <v>0</v>
      </c>
      <c r="O29" s="23">
        <f>SUMIFS(收入流水表!J:J,收入流水表!I:I,$O$3,收入流水表!A:A,A29)</f>
        <v>0</v>
      </c>
      <c r="P29" s="23">
        <f>SUMIFS(收入流水表!J:J,收入流水表!I:I,$P$3,收入流水表!A:A,A29)</f>
        <v>0</v>
      </c>
      <c r="Q29" s="23">
        <f>SUMIFS(收入流水表!J:J,收入流水表!I:I,$Q$3,收入流水表!A:A,A29)</f>
        <v>0</v>
      </c>
      <c r="R29" s="23">
        <f>SUMIFS(收入流水表!J:J,收入流水表!I:I,$R$3,收入流水表!A:A,A29)</f>
        <v>0</v>
      </c>
    </row>
    <row r="30" customHeight="1" spans="1:18">
      <c r="A30" s="125">
        <v>46230</v>
      </c>
      <c r="B30" s="126">
        <f>SUMIFS(收入流水表!J:J,收入流水表!C:C,$B$3,收入流水表!A:A,A30)</f>
        <v>0</v>
      </c>
      <c r="C30" s="126">
        <f>SUMIFS(收入流水表!J:J,收入流水表!C:C,$C$3,收入流水表!A:A,A30)</f>
        <v>0</v>
      </c>
      <c r="D30" s="126">
        <f>SUMIFS(收入流水表!J:J,收入流水表!C:C,$D$3,收入流水表!A:A,A30)</f>
        <v>0</v>
      </c>
      <c r="E30" s="126">
        <f>SUMIFS(收入流水表!J:J,收入流水表!C:C,$E$3,收入流水表!A:A,A30)</f>
        <v>0</v>
      </c>
      <c r="F30" s="126">
        <f>SUMIFS(收入流水表!J:J,收入流水表!C:C,$F$3,收入流水表!A:A,A30)</f>
        <v>0</v>
      </c>
      <c r="G30" s="23">
        <f>SUMIFS(收入流水表!J:J,收入流水表!C:C,$G$3,收入流水表!A:A,A30)</f>
        <v>0</v>
      </c>
      <c r="H30" s="23">
        <f t="shared" si="0"/>
        <v>0</v>
      </c>
      <c r="I30" s="23">
        <f>SUMIFS(收入流水表!J:J,收入流水表!C:C,$I$3,收入流水表!A:A,A30)</f>
        <v>0</v>
      </c>
      <c r="J30" s="23">
        <f>SUMIFS(收入流水表!J:J,收入流水表!C:C,$J$3,收入流水表!A:A,A30)</f>
        <v>0</v>
      </c>
      <c r="K30" s="23">
        <f>SUMIFS(收入流水表!J:J,收入流水表!C:C,$K$3,收入流水表!A:A,A30)</f>
        <v>0</v>
      </c>
      <c r="L30" s="23">
        <f>SUMIFS(收入流水表!J:J,收入流水表!C:C,$L$3,收入流水表!A:A,A30)</f>
        <v>0</v>
      </c>
      <c r="M30" s="23">
        <f t="shared" si="1"/>
        <v>0</v>
      </c>
      <c r="N30" s="23">
        <f t="shared" si="2"/>
        <v>0</v>
      </c>
      <c r="O30" s="23">
        <f>SUMIFS(收入流水表!J:J,收入流水表!I:I,$O$3,收入流水表!A:A,A30)</f>
        <v>0</v>
      </c>
      <c r="P30" s="23">
        <f>SUMIFS(收入流水表!J:J,收入流水表!I:I,$P$3,收入流水表!A:A,A30)</f>
        <v>0</v>
      </c>
      <c r="Q30" s="23">
        <f>SUMIFS(收入流水表!J:J,收入流水表!I:I,$Q$3,收入流水表!A:A,A30)</f>
        <v>0</v>
      </c>
      <c r="R30" s="23">
        <f>SUMIFS(收入流水表!J:J,收入流水表!I:I,$R$3,收入流水表!A:A,A30)</f>
        <v>0</v>
      </c>
    </row>
    <row r="31" customHeight="1" spans="1:18">
      <c r="A31" s="125">
        <v>46231</v>
      </c>
      <c r="B31" s="126">
        <f>SUMIFS(收入流水表!J:J,收入流水表!C:C,$B$3,收入流水表!A:A,A31)</f>
        <v>0</v>
      </c>
      <c r="C31" s="126">
        <f>SUMIFS(收入流水表!J:J,收入流水表!C:C,$C$3,收入流水表!A:A,A31)</f>
        <v>0</v>
      </c>
      <c r="D31" s="126">
        <f>SUMIFS(收入流水表!J:J,收入流水表!C:C,$D$3,收入流水表!A:A,A31)</f>
        <v>0</v>
      </c>
      <c r="E31" s="126">
        <f>SUMIFS(收入流水表!J:J,收入流水表!C:C,$E$3,收入流水表!A:A,A31)</f>
        <v>0</v>
      </c>
      <c r="F31" s="126">
        <f>SUMIFS(收入流水表!J:J,收入流水表!C:C,$F$3,收入流水表!A:A,A31)</f>
        <v>0</v>
      </c>
      <c r="G31" s="23">
        <f>SUMIFS(收入流水表!J:J,收入流水表!C:C,$G$3,收入流水表!A:A,A31)</f>
        <v>0</v>
      </c>
      <c r="H31" s="23">
        <f t="shared" si="0"/>
        <v>0</v>
      </c>
      <c r="I31" s="23">
        <f>SUMIFS(收入流水表!J:J,收入流水表!C:C,$I$3,收入流水表!A:A,A31)</f>
        <v>0</v>
      </c>
      <c r="J31" s="23">
        <f>SUMIFS(收入流水表!J:J,收入流水表!C:C,$J$3,收入流水表!A:A,A31)</f>
        <v>0</v>
      </c>
      <c r="K31" s="23">
        <f>SUMIFS(收入流水表!J:J,收入流水表!C:C,$K$3,收入流水表!A:A,A31)</f>
        <v>0</v>
      </c>
      <c r="L31" s="23">
        <f>SUMIFS(收入流水表!J:J,收入流水表!C:C,$L$3,收入流水表!A:A,A31)</f>
        <v>0</v>
      </c>
      <c r="M31" s="23">
        <f t="shared" si="1"/>
        <v>0</v>
      </c>
      <c r="N31" s="23">
        <f t="shared" si="2"/>
        <v>0</v>
      </c>
      <c r="O31" s="23">
        <f>SUMIFS(收入流水表!J:J,收入流水表!I:I,$O$3,收入流水表!A:A,A31)</f>
        <v>0</v>
      </c>
      <c r="P31" s="23">
        <f>SUMIFS(收入流水表!J:J,收入流水表!I:I,$P$3,收入流水表!A:A,A31)</f>
        <v>0</v>
      </c>
      <c r="Q31" s="23">
        <f>SUMIFS(收入流水表!J:J,收入流水表!I:I,$Q$3,收入流水表!A:A,A31)</f>
        <v>0</v>
      </c>
      <c r="R31" s="23">
        <f>SUMIFS(收入流水表!J:J,收入流水表!I:I,$R$3,收入流水表!A:A,A31)</f>
        <v>0</v>
      </c>
    </row>
    <row r="32" customHeight="1" spans="1:18">
      <c r="A32" s="125">
        <v>46232</v>
      </c>
      <c r="B32" s="126">
        <f>SUMIFS(收入流水表!J:J,收入流水表!C:C,$B$3,收入流水表!A:A,A32)</f>
        <v>0</v>
      </c>
      <c r="C32" s="126">
        <f>SUMIFS(收入流水表!J:J,收入流水表!C:C,$C$3,收入流水表!A:A,A32)</f>
        <v>0</v>
      </c>
      <c r="D32" s="126">
        <f>SUMIFS(收入流水表!J:J,收入流水表!C:C,$D$3,收入流水表!A:A,A32)</f>
        <v>0</v>
      </c>
      <c r="E32" s="126">
        <f>SUMIFS(收入流水表!J:J,收入流水表!C:C,$E$3,收入流水表!A:A,A32)</f>
        <v>0</v>
      </c>
      <c r="F32" s="126">
        <f>SUMIFS(收入流水表!J:J,收入流水表!C:C,$F$3,收入流水表!A:A,A32)</f>
        <v>0</v>
      </c>
      <c r="G32" s="23">
        <f>SUMIFS(收入流水表!J:J,收入流水表!C:C,$G$3,收入流水表!A:A,A32)</f>
        <v>0</v>
      </c>
      <c r="H32" s="23">
        <f t="shared" si="0"/>
        <v>0</v>
      </c>
      <c r="I32" s="23">
        <f>SUMIFS(收入流水表!J:J,收入流水表!C:C,$I$3,收入流水表!A:A,A32)</f>
        <v>0</v>
      </c>
      <c r="J32" s="23">
        <f>SUMIFS(收入流水表!J:J,收入流水表!C:C,$J$3,收入流水表!A:A,A32)</f>
        <v>0</v>
      </c>
      <c r="K32" s="23">
        <f>SUMIFS(收入流水表!J:J,收入流水表!C:C,$K$3,收入流水表!A:A,A32)</f>
        <v>0</v>
      </c>
      <c r="L32" s="23">
        <f>SUMIFS(收入流水表!J:J,收入流水表!C:C,$L$3,收入流水表!A:A,A32)</f>
        <v>0</v>
      </c>
      <c r="M32" s="23">
        <f t="shared" si="1"/>
        <v>0</v>
      </c>
      <c r="N32" s="23">
        <f t="shared" si="2"/>
        <v>0</v>
      </c>
      <c r="O32" s="23">
        <f>SUMIFS(收入流水表!J:J,收入流水表!I:I,$O$3,收入流水表!A:A,A32)</f>
        <v>0</v>
      </c>
      <c r="P32" s="23">
        <f>SUMIFS(收入流水表!J:J,收入流水表!I:I,$P$3,收入流水表!A:A,A32)</f>
        <v>0</v>
      </c>
      <c r="Q32" s="23">
        <f>SUMIFS(收入流水表!J:J,收入流水表!I:I,$Q$3,收入流水表!A:A,A32)</f>
        <v>0</v>
      </c>
      <c r="R32" s="23">
        <f>SUMIFS(收入流水表!J:J,收入流水表!I:I,$R$3,收入流水表!A:A,A32)</f>
        <v>0</v>
      </c>
    </row>
    <row r="33" customHeight="1" spans="1:18">
      <c r="A33" s="125">
        <v>46233</v>
      </c>
      <c r="B33" s="126">
        <f>SUMIFS(收入流水表!J:J,收入流水表!C:C,$B$3,收入流水表!A:A,A33)</f>
        <v>0</v>
      </c>
      <c r="C33" s="126">
        <f>SUMIFS(收入流水表!J:J,收入流水表!C:C,$C$3,收入流水表!A:A,A33)</f>
        <v>0</v>
      </c>
      <c r="D33" s="126">
        <f>SUMIFS(收入流水表!J:J,收入流水表!C:C,$D$3,收入流水表!A:A,A33)</f>
        <v>0</v>
      </c>
      <c r="E33" s="126">
        <f>SUMIFS(收入流水表!J:J,收入流水表!C:C,$E$3,收入流水表!A:A,A33)</f>
        <v>0</v>
      </c>
      <c r="F33" s="126">
        <f>SUMIFS(收入流水表!J:J,收入流水表!C:C,$F$3,收入流水表!A:A,A33)</f>
        <v>0</v>
      </c>
      <c r="G33" s="23">
        <f>SUMIFS(收入流水表!J:J,收入流水表!C:C,$G$3,收入流水表!A:A,A33)</f>
        <v>0</v>
      </c>
      <c r="H33" s="23">
        <f t="shared" si="0"/>
        <v>0</v>
      </c>
      <c r="I33" s="23">
        <f>SUMIFS(收入流水表!J:J,收入流水表!C:C,$I$3,收入流水表!A:A,A33)</f>
        <v>0</v>
      </c>
      <c r="J33" s="23">
        <f>SUMIFS(收入流水表!J:J,收入流水表!C:C,$J$3,收入流水表!A:A,A33)</f>
        <v>0</v>
      </c>
      <c r="K33" s="23">
        <f>SUMIFS(收入流水表!J:J,收入流水表!C:C,$K$3,收入流水表!A:A,A33)</f>
        <v>0</v>
      </c>
      <c r="L33" s="23">
        <f>SUMIFS(收入流水表!J:J,收入流水表!C:C,$L$3,收入流水表!A:A,A33)</f>
        <v>0</v>
      </c>
      <c r="M33" s="23">
        <f t="shared" si="1"/>
        <v>0</v>
      </c>
      <c r="N33" s="23">
        <f t="shared" si="2"/>
        <v>0</v>
      </c>
      <c r="O33" s="23">
        <f>SUMIFS(收入流水表!J:J,收入流水表!I:I,$O$3,收入流水表!A:A,A33)</f>
        <v>0</v>
      </c>
      <c r="P33" s="23">
        <f>SUMIFS(收入流水表!J:J,收入流水表!I:I,$P$3,收入流水表!A:A,A33)</f>
        <v>0</v>
      </c>
      <c r="Q33" s="23">
        <f>SUMIFS(收入流水表!J:J,收入流水表!I:I,$Q$3,收入流水表!A:A,A33)</f>
        <v>0</v>
      </c>
      <c r="R33" s="23">
        <f>SUMIFS(收入流水表!J:J,收入流水表!I:I,$R$3,收入流水表!A:A,A33)</f>
        <v>0</v>
      </c>
    </row>
    <row r="34" customHeight="1" spans="1:18">
      <c r="A34" s="125">
        <v>46234</v>
      </c>
      <c r="B34" s="126">
        <f>SUMIFS(收入流水表!J:J,收入流水表!C:C,$B$3,收入流水表!A:A,A34)</f>
        <v>0</v>
      </c>
      <c r="C34" s="126">
        <f>SUMIFS(收入流水表!J:J,收入流水表!C:C,$C$3,收入流水表!A:A,A34)</f>
        <v>0</v>
      </c>
      <c r="D34" s="126">
        <f>SUMIFS(收入流水表!J:J,收入流水表!C:C,$D$3,收入流水表!A:A,A34)</f>
        <v>0</v>
      </c>
      <c r="E34" s="126">
        <f>SUMIFS(收入流水表!J:J,收入流水表!C:C,$E$3,收入流水表!A:A,A34)</f>
        <v>0</v>
      </c>
      <c r="F34" s="126">
        <f>SUMIFS(收入流水表!J:J,收入流水表!C:C,$F$3,收入流水表!A:A,A34)</f>
        <v>0</v>
      </c>
      <c r="G34" s="23">
        <f>SUMIFS(收入流水表!J:J,收入流水表!C:C,$G$3,收入流水表!A:A,A34)</f>
        <v>0</v>
      </c>
      <c r="H34" s="23">
        <f t="shared" si="0"/>
        <v>0</v>
      </c>
      <c r="I34" s="23">
        <f>SUMIFS(收入流水表!J:J,收入流水表!C:C,$I$3,收入流水表!A:A,A34)</f>
        <v>0</v>
      </c>
      <c r="J34" s="23">
        <f>SUMIFS(收入流水表!J:J,收入流水表!C:C,$J$3,收入流水表!A:A,A34)</f>
        <v>0</v>
      </c>
      <c r="K34" s="23">
        <f>SUMIFS(收入流水表!J:J,收入流水表!C:C,$K$3,收入流水表!A:A,A34)</f>
        <v>0</v>
      </c>
      <c r="L34" s="23">
        <f>SUMIFS(收入流水表!J:J,收入流水表!C:C,$L$3,收入流水表!A:A,A34)</f>
        <v>0</v>
      </c>
      <c r="M34" s="23">
        <f t="shared" si="1"/>
        <v>0</v>
      </c>
      <c r="N34" s="23">
        <f t="shared" si="2"/>
        <v>0</v>
      </c>
      <c r="O34" s="23">
        <f>SUMIFS(收入流水表!J:J,收入流水表!I:I,$O$3,收入流水表!A:A,A34)</f>
        <v>0</v>
      </c>
      <c r="P34" s="23">
        <f>SUMIFS(收入流水表!J:J,收入流水表!I:I,$P$3,收入流水表!A:A,A34)</f>
        <v>0</v>
      </c>
      <c r="Q34" s="23">
        <f>SUMIFS(收入流水表!J:J,收入流水表!I:I,$Q$3,收入流水表!A:A,A34)</f>
        <v>0</v>
      </c>
      <c r="R34" s="23">
        <f>SUMIFS(收入流水表!J:J,收入流水表!I:I,$R$3,收入流水表!A:A,A34)</f>
        <v>0</v>
      </c>
    </row>
    <row r="35" customHeight="1" spans="1:18">
      <c r="A35" s="127" t="s">
        <v>62</v>
      </c>
      <c r="B35" s="128">
        <f t="shared" ref="B35:R35" si="3">SUM(B4:B34)</f>
        <v>87612</v>
      </c>
      <c r="C35" s="128">
        <f t="shared" si="3"/>
        <v>27862</v>
      </c>
      <c r="D35" s="128">
        <f t="shared" si="3"/>
        <v>86363</v>
      </c>
      <c r="E35" s="128">
        <f t="shared" si="3"/>
        <v>0</v>
      </c>
      <c r="F35" s="128">
        <f t="shared" si="3"/>
        <v>0</v>
      </c>
      <c r="G35" s="128">
        <f t="shared" si="3"/>
        <v>1155</v>
      </c>
      <c r="H35" s="128">
        <f t="shared" si="3"/>
        <v>202992</v>
      </c>
      <c r="I35" s="128">
        <f t="shared" si="3"/>
        <v>352</v>
      </c>
      <c r="J35" s="128">
        <f t="shared" si="3"/>
        <v>290</v>
      </c>
      <c r="K35" s="128">
        <f t="shared" si="3"/>
        <v>671.4</v>
      </c>
      <c r="L35" s="128">
        <f t="shared" si="3"/>
        <v>0</v>
      </c>
      <c r="M35" s="128">
        <f t="shared" si="3"/>
        <v>1313.4</v>
      </c>
      <c r="N35" s="128">
        <f t="shared" si="3"/>
        <v>204305.4</v>
      </c>
      <c r="O35" s="128">
        <f t="shared" si="3"/>
        <v>143562</v>
      </c>
      <c r="P35" s="128">
        <f t="shared" si="3"/>
        <v>20180</v>
      </c>
      <c r="Q35" s="128">
        <f t="shared" si="3"/>
        <v>3000</v>
      </c>
      <c r="R35" s="128">
        <f t="shared" si="3"/>
        <v>1020</v>
      </c>
    </row>
  </sheetData>
  <autoFilter xmlns:etc="http://www.wps.cn/officeDocument/2017/etCustomData" ref="A1:V35" etc:filterBottomFollowUsedRange="0">
    <extLst/>
  </autoFilter>
  <mergeCells count="6">
    <mergeCell ref="A1:V1"/>
    <mergeCell ref="B2:H2"/>
    <mergeCell ref="I2:M2"/>
    <mergeCell ref="O2:R2"/>
    <mergeCell ref="S2:T2"/>
    <mergeCell ref="V2:V3"/>
  </mergeCells>
  <dataValidations count="1">
    <dataValidation allowBlank="1" showInputMessage="1" showErrorMessage="1" sqref="P3"/>
  </dataValidations>
  <pageMargins left="0.75" right="0.75" top="1" bottom="1" header="0.5" footer="0.5"/>
  <pageSetup paperSize="9" orientation="portrait"/>
  <headerFooter/>
  <ignoredErrors>
    <ignoredError sqref="H13" evalError="1" formula="1"/>
    <ignoredError sqref="C13:G13 A14:C14 E14:I14 A18:V35 A17:K17 A16:J16 A15:I15 A13 A4:J12 A1:V3 M4:V17 I13:J1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V859"/>
  <sheetViews>
    <sheetView tabSelected="1" zoomScale="89" zoomScaleNormal="89" workbookViewId="0">
      <pane ySplit="1" topLeftCell="A161" activePane="bottomLeft" state="frozen"/>
      <selection/>
      <selection pane="bottomLeft" activeCell="L219" sqref="L219"/>
    </sheetView>
  </sheetViews>
  <sheetFormatPr defaultColWidth="9" defaultRowHeight="25" customHeight="1"/>
  <cols>
    <col min="1" max="1" width="13" style="83" customWidth="1"/>
    <col min="2" max="2" width="12.25" style="41" customWidth="1"/>
    <col min="3" max="3" width="12.5" style="41" customWidth="1"/>
    <col min="4" max="4" width="15.9711538461538" style="41" customWidth="1"/>
    <col min="5" max="5" width="14.5" style="41" customWidth="1"/>
    <col min="6" max="6" width="12.125" style="41" customWidth="1"/>
    <col min="7" max="7" width="6.80769230769231" style="41" customWidth="1"/>
    <col min="8" max="8" width="10.25" style="41" customWidth="1"/>
    <col min="9" max="9" width="10.375" style="41" customWidth="1"/>
    <col min="10" max="10" width="9.75" style="41" customWidth="1"/>
    <col min="11" max="11" width="15.4134615384615" style="41" customWidth="1"/>
    <col min="12" max="14" width="9.75" style="41" customWidth="1"/>
    <col min="15" max="15" width="38.5096153846154" style="41" customWidth="1"/>
    <col min="16" max="16" width="9.875" style="41" customWidth="1"/>
    <col min="17" max="17" width="12.3557692307692" style="41" customWidth="1"/>
    <col min="18" max="18" width="15.1346153846154" style="41" customWidth="1"/>
    <col min="19" max="21" width="10.125" style="41" customWidth="1"/>
    <col min="22" max="16384" width="9" style="82"/>
  </cols>
  <sheetData>
    <row r="1" s="82" customFormat="1" ht="50" customHeight="1" spans="1:21">
      <c r="A1" s="84" t="s">
        <v>42</v>
      </c>
      <c r="B1" s="85" t="s">
        <v>63</v>
      </c>
      <c r="C1" s="86" t="s">
        <v>64</v>
      </c>
      <c r="D1" s="86" t="s">
        <v>65</v>
      </c>
      <c r="E1" s="87" t="s">
        <v>66</v>
      </c>
      <c r="F1" s="87" t="s">
        <v>67</v>
      </c>
      <c r="G1" s="86" t="s">
        <v>68</v>
      </c>
      <c r="H1" s="86" t="s">
        <v>69</v>
      </c>
      <c r="I1" s="86" t="s">
        <v>39</v>
      </c>
      <c r="J1" s="86" t="s">
        <v>70</v>
      </c>
      <c r="K1" s="86" t="s">
        <v>61</v>
      </c>
      <c r="L1" s="86" t="s">
        <v>71</v>
      </c>
      <c r="M1" s="86" t="s">
        <v>72</v>
      </c>
      <c r="N1" s="86" t="s">
        <v>73</v>
      </c>
      <c r="O1" s="86" t="s">
        <v>41</v>
      </c>
      <c r="P1" s="86" t="s">
        <v>74</v>
      </c>
      <c r="Q1" s="86" t="s">
        <v>75</v>
      </c>
      <c r="R1" s="86" t="s">
        <v>76</v>
      </c>
      <c r="S1" s="86" t="s">
        <v>77</v>
      </c>
      <c r="T1" s="86" t="s">
        <v>78</v>
      </c>
      <c r="U1" s="86" t="s">
        <v>79</v>
      </c>
    </row>
    <row r="2" hidden="1" customHeight="1" spans="1:21">
      <c r="A2" s="88">
        <v>46204</v>
      </c>
      <c r="B2" s="89"/>
      <c r="C2" s="89" t="s">
        <v>50</v>
      </c>
      <c r="D2" s="89"/>
      <c r="E2" s="89"/>
      <c r="F2" s="89"/>
      <c r="G2" s="89"/>
      <c r="H2" s="89"/>
      <c r="I2" s="89"/>
      <c r="J2" s="89">
        <v>58</v>
      </c>
      <c r="K2" s="89" t="s">
        <v>80</v>
      </c>
      <c r="L2" s="89"/>
      <c r="M2" s="89"/>
      <c r="N2" s="89"/>
      <c r="O2" s="89"/>
      <c r="P2" s="89"/>
      <c r="Q2" s="89"/>
      <c r="R2" s="89"/>
      <c r="S2" s="89"/>
      <c r="T2" s="89"/>
      <c r="U2" s="89"/>
    </row>
    <row r="3" hidden="1" customHeight="1" spans="1:21">
      <c r="A3" s="88">
        <v>46204</v>
      </c>
      <c r="B3" s="89"/>
      <c r="C3" s="89" t="s">
        <v>48</v>
      </c>
      <c r="D3" s="89"/>
      <c r="E3" s="89"/>
      <c r="F3" s="89"/>
      <c r="G3" s="89"/>
      <c r="H3" s="89"/>
      <c r="I3" s="89"/>
      <c r="J3" s="89">
        <v>140</v>
      </c>
      <c r="K3" s="89" t="s">
        <v>80</v>
      </c>
      <c r="L3" s="89"/>
      <c r="M3" s="89"/>
      <c r="N3" s="89"/>
      <c r="O3" s="89" t="s">
        <v>81</v>
      </c>
      <c r="P3" s="89"/>
      <c r="Q3" s="89"/>
      <c r="R3" s="89"/>
      <c r="S3" s="89"/>
      <c r="T3" s="89"/>
      <c r="U3" s="89"/>
    </row>
    <row r="4" hidden="1" customHeight="1" spans="1:21">
      <c r="A4" s="88">
        <v>46204</v>
      </c>
      <c r="B4" s="89"/>
      <c r="C4" s="89" t="s">
        <v>52</v>
      </c>
      <c r="D4" s="89"/>
      <c r="E4" s="89"/>
      <c r="F4" s="89"/>
      <c r="G4" s="89"/>
      <c r="H4" s="89"/>
      <c r="I4" s="89"/>
      <c r="J4" s="89">
        <v>39.6</v>
      </c>
      <c r="K4" s="89" t="s">
        <v>80</v>
      </c>
      <c r="L4" s="89"/>
      <c r="M4" s="89"/>
      <c r="N4" s="89"/>
      <c r="O4" s="89"/>
      <c r="P4" s="89"/>
      <c r="Q4" s="89"/>
      <c r="R4" s="89"/>
      <c r="S4" s="89"/>
      <c r="T4" s="89"/>
      <c r="U4" s="89"/>
    </row>
    <row r="5" hidden="1" customHeight="1" spans="1:21">
      <c r="A5" s="88">
        <v>46204</v>
      </c>
      <c r="B5" s="89"/>
      <c r="C5" s="89" t="s">
        <v>53</v>
      </c>
      <c r="D5" s="89"/>
      <c r="E5" s="89"/>
      <c r="F5" s="89"/>
      <c r="G5" s="89"/>
      <c r="H5" s="89"/>
      <c r="I5" s="89"/>
      <c r="J5" s="89">
        <v>0</v>
      </c>
      <c r="K5" s="89" t="s">
        <v>80</v>
      </c>
      <c r="L5" s="89"/>
      <c r="M5" s="89"/>
      <c r="N5" s="89"/>
      <c r="O5" s="89"/>
      <c r="P5" s="89"/>
      <c r="Q5" s="89"/>
      <c r="R5" s="89"/>
      <c r="S5" s="89"/>
      <c r="T5" s="89"/>
      <c r="U5" s="89"/>
    </row>
    <row r="6" hidden="1" customHeight="1" spans="1:21">
      <c r="A6" s="88">
        <v>46204</v>
      </c>
      <c r="B6" s="89"/>
      <c r="C6" s="89" t="s">
        <v>47</v>
      </c>
      <c r="D6" s="89"/>
      <c r="E6" s="89"/>
      <c r="F6" s="89"/>
      <c r="G6" s="89"/>
      <c r="H6" s="89"/>
      <c r="I6" s="89"/>
      <c r="J6" s="89">
        <v>0</v>
      </c>
      <c r="K6" s="89" t="s">
        <v>80</v>
      </c>
      <c r="L6" s="89"/>
      <c r="M6" s="89"/>
      <c r="N6" s="89"/>
      <c r="O6" s="89"/>
      <c r="P6" s="89"/>
      <c r="Q6" s="89"/>
      <c r="R6" s="89"/>
      <c r="S6" s="89"/>
      <c r="T6" s="89"/>
      <c r="U6" s="89"/>
    </row>
    <row r="7" ht="28" hidden="1" customHeight="1" spans="1:21">
      <c r="A7" s="83">
        <v>46204</v>
      </c>
      <c r="B7" s="41">
        <v>1106236</v>
      </c>
      <c r="C7" s="41" t="s">
        <v>45</v>
      </c>
      <c r="D7" s="41" t="s">
        <v>82</v>
      </c>
      <c r="E7" s="41">
        <v>15827527505</v>
      </c>
      <c r="F7" s="41" t="s">
        <v>83</v>
      </c>
      <c r="G7" s="41">
        <v>10</v>
      </c>
      <c r="H7" s="41" t="s">
        <v>84</v>
      </c>
      <c r="I7" s="41" t="s">
        <v>56</v>
      </c>
      <c r="J7" s="41">
        <v>1500</v>
      </c>
      <c r="K7" s="41" t="s">
        <v>85</v>
      </c>
      <c r="O7" s="44" t="s">
        <v>86</v>
      </c>
      <c r="P7" s="41">
        <v>9309282</v>
      </c>
      <c r="Q7" s="41" t="s">
        <v>87</v>
      </c>
      <c r="R7" s="41" t="s">
        <v>88</v>
      </c>
      <c r="S7" s="41" t="s">
        <v>87</v>
      </c>
      <c r="T7" s="41" t="s">
        <v>89</v>
      </c>
    </row>
    <row r="8" hidden="1" customHeight="1" spans="1:21">
      <c r="A8" s="83">
        <v>46204</v>
      </c>
      <c r="B8" s="41">
        <v>2923592</v>
      </c>
      <c r="C8" s="41" t="s">
        <v>43</v>
      </c>
      <c r="D8" s="41" t="s">
        <v>90</v>
      </c>
      <c r="E8" s="41">
        <v>15927129741</v>
      </c>
      <c r="F8" s="41" t="s">
        <v>91</v>
      </c>
      <c r="G8" s="41">
        <v>10</v>
      </c>
      <c r="H8" s="41" t="s">
        <v>92</v>
      </c>
      <c r="I8" s="41" t="s">
        <v>55</v>
      </c>
      <c r="J8" s="41">
        <v>200</v>
      </c>
      <c r="K8" s="41" t="s">
        <v>85</v>
      </c>
      <c r="O8" s="41" t="s">
        <v>93</v>
      </c>
    </row>
    <row r="9" hidden="1" customHeight="1" spans="1:21">
      <c r="A9" s="83">
        <v>46204</v>
      </c>
      <c r="C9" s="41" t="s">
        <v>45</v>
      </c>
      <c r="H9" s="41" t="s">
        <v>92</v>
      </c>
      <c r="I9" s="41" t="s">
        <v>55</v>
      </c>
      <c r="J9" s="41">
        <v>160</v>
      </c>
      <c r="K9" s="41" t="s">
        <v>94</v>
      </c>
    </row>
    <row r="10" ht="28" hidden="1" customHeight="1" spans="1:21">
      <c r="A10" s="83">
        <v>46204</v>
      </c>
      <c r="B10" s="41">
        <v>2923773</v>
      </c>
      <c r="C10" s="41" t="s">
        <v>45</v>
      </c>
      <c r="D10" s="41" t="s">
        <v>95</v>
      </c>
      <c r="E10" s="41">
        <v>18702725483</v>
      </c>
      <c r="F10" s="41" t="s">
        <v>96</v>
      </c>
      <c r="H10" s="41" t="s">
        <v>84</v>
      </c>
      <c r="I10" s="41" t="s">
        <v>55</v>
      </c>
      <c r="J10" s="41">
        <v>1000</v>
      </c>
      <c r="K10" s="41" t="s">
        <v>97</v>
      </c>
      <c r="O10" s="41" t="s">
        <v>98</v>
      </c>
      <c r="P10" s="41">
        <v>9122631</v>
      </c>
      <c r="Q10" s="41" t="s">
        <v>87</v>
      </c>
      <c r="R10" s="41" t="s">
        <v>88</v>
      </c>
      <c r="S10" s="41" t="s">
        <v>87</v>
      </c>
      <c r="T10" s="41" t="s">
        <v>89</v>
      </c>
    </row>
    <row r="11" ht="30" hidden="1" customHeight="1" spans="1:21">
      <c r="A11" s="83">
        <v>46204</v>
      </c>
      <c r="C11" s="41" t="s">
        <v>43</v>
      </c>
      <c r="H11" s="41" t="s">
        <v>99</v>
      </c>
      <c r="I11" s="41" t="s">
        <v>55</v>
      </c>
      <c r="J11" s="41">
        <v>80</v>
      </c>
      <c r="K11" s="41" t="s">
        <v>94</v>
      </c>
    </row>
    <row r="12" hidden="1" customHeight="1" spans="1:21">
      <c r="A12" s="83">
        <v>46204</v>
      </c>
      <c r="B12" s="41">
        <v>1106238</v>
      </c>
      <c r="C12" s="41" t="s">
        <v>45</v>
      </c>
      <c r="D12" s="41" t="s">
        <v>100</v>
      </c>
      <c r="E12" s="41">
        <v>18971073520</v>
      </c>
      <c r="F12" s="41" t="s">
        <v>91</v>
      </c>
      <c r="G12" s="41">
        <v>10</v>
      </c>
      <c r="H12" s="41" t="s">
        <v>84</v>
      </c>
      <c r="I12" s="41" t="s">
        <v>56</v>
      </c>
      <c r="J12" s="41">
        <v>1000</v>
      </c>
      <c r="K12" s="41" t="s">
        <v>85</v>
      </c>
      <c r="O12" s="41" t="s">
        <v>101</v>
      </c>
      <c r="P12" s="41">
        <v>9309283</v>
      </c>
      <c r="Q12" s="41" t="s">
        <v>87</v>
      </c>
      <c r="R12" s="41" t="s">
        <v>88</v>
      </c>
      <c r="S12" s="41" t="s">
        <v>87</v>
      </c>
      <c r="T12" s="41" t="s">
        <v>89</v>
      </c>
    </row>
    <row r="13" hidden="1" customHeight="1" spans="1:21">
      <c r="A13" s="83">
        <v>46204</v>
      </c>
      <c r="B13" s="41">
        <v>1106237</v>
      </c>
      <c r="C13" s="41" t="s">
        <v>45</v>
      </c>
      <c r="D13" s="41" t="s">
        <v>102</v>
      </c>
      <c r="E13" s="41">
        <v>15997449859</v>
      </c>
      <c r="F13" s="41" t="s">
        <v>83</v>
      </c>
      <c r="G13" s="41">
        <v>20</v>
      </c>
      <c r="H13" s="41" t="s">
        <v>84</v>
      </c>
      <c r="I13" s="41" t="s">
        <v>56</v>
      </c>
      <c r="J13" s="41">
        <v>2500</v>
      </c>
      <c r="K13" s="41" t="s">
        <v>85</v>
      </c>
      <c r="O13" s="41" t="s">
        <v>103</v>
      </c>
      <c r="P13" s="41">
        <v>9309284</v>
      </c>
      <c r="Q13" s="41" t="s">
        <v>87</v>
      </c>
      <c r="R13" s="41" t="s">
        <v>88</v>
      </c>
      <c r="S13" s="41" t="s">
        <v>87</v>
      </c>
      <c r="T13" s="41" t="s">
        <v>89</v>
      </c>
    </row>
    <row r="14" hidden="1" customHeight="1" spans="1:21">
      <c r="A14" s="83">
        <v>46204</v>
      </c>
      <c r="B14" s="41">
        <v>2923772</v>
      </c>
      <c r="C14" s="41" t="s">
        <v>45</v>
      </c>
      <c r="D14" s="41" t="s">
        <v>104</v>
      </c>
      <c r="E14" s="41">
        <v>15872372823</v>
      </c>
      <c r="F14" s="41" t="s">
        <v>83</v>
      </c>
      <c r="G14" s="41">
        <v>10</v>
      </c>
      <c r="H14" s="41" t="s">
        <v>84</v>
      </c>
      <c r="I14" s="41" t="s">
        <v>56</v>
      </c>
      <c r="J14" s="41">
        <v>1500</v>
      </c>
      <c r="K14" s="41" t="s">
        <v>105</v>
      </c>
      <c r="O14" s="41" t="s">
        <v>106</v>
      </c>
      <c r="P14" s="41">
        <v>9310361</v>
      </c>
      <c r="Q14" s="41" t="s">
        <v>87</v>
      </c>
      <c r="R14" s="41" t="s">
        <v>88</v>
      </c>
      <c r="S14" s="41" t="s">
        <v>87</v>
      </c>
      <c r="T14" s="41" t="s">
        <v>89</v>
      </c>
    </row>
    <row r="15" hidden="1" customHeight="1" spans="1:21">
      <c r="A15" s="83">
        <v>46204</v>
      </c>
      <c r="B15" s="41">
        <v>1106240</v>
      </c>
      <c r="C15" s="41" t="s">
        <v>45</v>
      </c>
      <c r="D15" s="41" t="s">
        <v>107</v>
      </c>
      <c r="E15" s="41">
        <v>18607108499</v>
      </c>
      <c r="F15" s="41" t="s">
        <v>91</v>
      </c>
      <c r="H15" s="41" t="s">
        <v>84</v>
      </c>
      <c r="I15" s="41" t="s">
        <v>55</v>
      </c>
      <c r="J15" s="41">
        <v>1000</v>
      </c>
      <c r="K15" s="41" t="s">
        <v>108</v>
      </c>
      <c r="O15" s="41" t="s">
        <v>109</v>
      </c>
      <c r="P15" s="41">
        <v>9309285</v>
      </c>
      <c r="Q15" s="41" t="s">
        <v>87</v>
      </c>
      <c r="R15" s="41" t="s">
        <v>88</v>
      </c>
      <c r="S15" s="41" t="s">
        <v>87</v>
      </c>
      <c r="T15" s="41" t="s">
        <v>89</v>
      </c>
    </row>
    <row r="16" ht="32" hidden="1" customHeight="1" spans="1:21">
      <c r="A16" s="83">
        <v>46204</v>
      </c>
      <c r="B16" s="41">
        <v>2823796</v>
      </c>
      <c r="C16" s="41" t="s">
        <v>45</v>
      </c>
      <c r="D16" s="44" t="s">
        <v>110</v>
      </c>
      <c r="E16" s="41">
        <v>15391520412</v>
      </c>
      <c r="F16" s="41" t="s">
        <v>111</v>
      </c>
      <c r="H16" s="41" t="s">
        <v>84</v>
      </c>
      <c r="I16" s="41" t="s">
        <v>55</v>
      </c>
      <c r="J16" s="41">
        <v>2980</v>
      </c>
      <c r="K16" s="41" t="s">
        <v>97</v>
      </c>
      <c r="O16" s="41" t="s">
        <v>112</v>
      </c>
      <c r="P16" s="41">
        <v>9122502</v>
      </c>
      <c r="Q16" s="41" t="s">
        <v>87</v>
      </c>
      <c r="R16" s="41" t="s">
        <v>88</v>
      </c>
      <c r="S16" s="41" t="s">
        <v>87</v>
      </c>
      <c r="T16" s="41" t="s">
        <v>89</v>
      </c>
    </row>
    <row r="17" ht="28" hidden="1" customHeight="1" spans="1:21">
      <c r="A17" s="83">
        <v>46204</v>
      </c>
      <c r="B17" s="41">
        <v>2823797</v>
      </c>
      <c r="C17" s="41" t="s">
        <v>45</v>
      </c>
      <c r="D17" s="41" t="s">
        <v>113</v>
      </c>
      <c r="E17" s="41">
        <v>15872222241</v>
      </c>
      <c r="H17" s="41" t="s">
        <v>84</v>
      </c>
      <c r="I17" s="41" t="s">
        <v>56</v>
      </c>
      <c r="J17" s="41">
        <v>1000</v>
      </c>
      <c r="K17" s="41" t="s">
        <v>108</v>
      </c>
    </row>
    <row r="18" hidden="1" customHeight="1" spans="1:21">
      <c r="A18" s="83">
        <v>46204</v>
      </c>
      <c r="B18" s="41">
        <v>2823798</v>
      </c>
      <c r="C18" s="41" t="s">
        <v>43</v>
      </c>
      <c r="D18" s="41" t="s">
        <v>114</v>
      </c>
      <c r="E18" s="41">
        <v>1327731866</v>
      </c>
      <c r="F18" s="41" t="s">
        <v>115</v>
      </c>
      <c r="H18" s="41" t="s">
        <v>84</v>
      </c>
      <c r="I18" s="41" t="s">
        <v>55</v>
      </c>
      <c r="J18" s="41">
        <v>494</v>
      </c>
      <c r="K18" s="41" t="s">
        <v>85</v>
      </c>
      <c r="O18" s="41" t="s">
        <v>115</v>
      </c>
      <c r="P18" s="41">
        <v>9121539</v>
      </c>
      <c r="Q18" s="41" t="s">
        <v>87</v>
      </c>
      <c r="R18" s="41" t="s">
        <v>88</v>
      </c>
      <c r="S18" s="41" t="s">
        <v>87</v>
      </c>
      <c r="T18" s="41" t="s">
        <v>89</v>
      </c>
    </row>
    <row r="19" ht="32" hidden="1" customHeight="1" spans="1:21">
      <c r="A19" s="83">
        <v>46204</v>
      </c>
      <c r="B19" s="41">
        <v>2923819</v>
      </c>
      <c r="C19" s="41" t="s">
        <v>43</v>
      </c>
      <c r="D19" s="44" t="s">
        <v>116</v>
      </c>
      <c r="E19" s="44" t="s">
        <v>117</v>
      </c>
      <c r="F19" s="41" t="s">
        <v>91</v>
      </c>
      <c r="H19" s="41" t="s">
        <v>84</v>
      </c>
      <c r="I19" s="41" t="s">
        <v>55</v>
      </c>
      <c r="J19" s="41">
        <v>2000</v>
      </c>
      <c r="K19" s="41" t="s">
        <v>118</v>
      </c>
      <c r="O19" s="41" t="s">
        <v>119</v>
      </c>
      <c r="P19" s="41">
        <v>9310362</v>
      </c>
      <c r="Q19" s="41" t="s">
        <v>87</v>
      </c>
      <c r="R19" s="41" t="s">
        <v>88</v>
      </c>
      <c r="S19" s="41" t="s">
        <v>87</v>
      </c>
      <c r="T19" s="41" t="s">
        <v>89</v>
      </c>
    </row>
    <row r="20" hidden="1" customHeight="1" spans="1:21">
      <c r="A20" s="83">
        <v>46204</v>
      </c>
      <c r="B20" s="41">
        <v>2923775</v>
      </c>
      <c r="C20" s="41" t="s">
        <v>43</v>
      </c>
      <c r="D20" s="41" t="s">
        <v>120</v>
      </c>
      <c r="E20" s="41">
        <v>15564579145</v>
      </c>
      <c r="F20" s="41" t="s">
        <v>121</v>
      </c>
      <c r="H20" s="41" t="s">
        <v>84</v>
      </c>
      <c r="I20" s="41" t="s">
        <v>55</v>
      </c>
      <c r="J20" s="41">
        <v>499</v>
      </c>
      <c r="K20" s="41" t="s">
        <v>97</v>
      </c>
      <c r="O20" s="41" t="s">
        <v>122</v>
      </c>
      <c r="P20" s="41">
        <v>9122633</v>
      </c>
      <c r="Q20" s="41" t="s">
        <v>87</v>
      </c>
      <c r="R20" s="41" t="s">
        <v>88</v>
      </c>
      <c r="S20" s="41" t="s">
        <v>87</v>
      </c>
      <c r="T20" s="41" t="s">
        <v>89</v>
      </c>
    </row>
    <row r="21" hidden="1" customHeight="1" spans="1:21">
      <c r="A21" s="83">
        <v>46204</v>
      </c>
      <c r="B21" s="41">
        <v>2923776</v>
      </c>
      <c r="C21" s="41" t="s">
        <v>45</v>
      </c>
      <c r="D21" s="41" t="s">
        <v>123</v>
      </c>
      <c r="E21" s="41">
        <v>15679193208</v>
      </c>
      <c r="F21" s="41" t="s">
        <v>91</v>
      </c>
      <c r="G21" s="41">
        <v>10</v>
      </c>
      <c r="H21" s="41" t="s">
        <v>84</v>
      </c>
      <c r="I21" s="41" t="s">
        <v>55</v>
      </c>
      <c r="J21" s="41">
        <v>1000</v>
      </c>
      <c r="K21" s="41" t="s">
        <v>118</v>
      </c>
      <c r="O21" s="41" t="s">
        <v>119</v>
      </c>
      <c r="P21" s="41">
        <v>9310363</v>
      </c>
      <c r="Q21" s="41" t="s">
        <v>87</v>
      </c>
      <c r="R21" s="41" t="s">
        <v>88</v>
      </c>
      <c r="S21" s="41" t="s">
        <v>87</v>
      </c>
      <c r="T21" s="41" t="s">
        <v>89</v>
      </c>
    </row>
    <row r="22" ht="38" hidden="1" customHeight="1" spans="1:21">
      <c r="A22" s="83">
        <v>46204</v>
      </c>
      <c r="B22" s="41">
        <v>2923820</v>
      </c>
      <c r="C22" s="41" t="s">
        <v>43</v>
      </c>
      <c r="D22" s="41" t="s">
        <v>124</v>
      </c>
      <c r="E22" s="41">
        <v>18271460820</v>
      </c>
      <c r="F22" s="41" t="s">
        <v>125</v>
      </c>
      <c r="H22" s="41" t="s">
        <v>84</v>
      </c>
      <c r="I22" s="41" t="s">
        <v>56</v>
      </c>
      <c r="J22" s="41">
        <v>700</v>
      </c>
      <c r="K22" s="41" t="s">
        <v>85</v>
      </c>
      <c r="O22" s="41" t="s">
        <v>126</v>
      </c>
      <c r="P22" s="41">
        <v>9122632</v>
      </c>
      <c r="Q22" s="41" t="s">
        <v>87</v>
      </c>
      <c r="R22" s="41" t="s">
        <v>88</v>
      </c>
      <c r="S22" s="41" t="s">
        <v>87</v>
      </c>
      <c r="T22" s="41" t="s">
        <v>89</v>
      </c>
    </row>
    <row r="23" hidden="1" customHeight="1" spans="1:21">
      <c r="A23" s="88">
        <v>46205</v>
      </c>
      <c r="B23" s="89"/>
      <c r="C23" s="89" t="s">
        <v>50</v>
      </c>
      <c r="D23" s="89"/>
      <c r="E23" s="89"/>
      <c r="F23" s="89"/>
      <c r="G23" s="89"/>
      <c r="H23" s="89"/>
      <c r="I23" s="89"/>
      <c r="J23" s="89">
        <v>18</v>
      </c>
      <c r="K23" s="89" t="s">
        <v>80</v>
      </c>
      <c r="L23" s="89"/>
      <c r="M23" s="89"/>
      <c r="N23" s="89"/>
      <c r="O23" s="89"/>
      <c r="P23" s="89"/>
      <c r="Q23" s="89"/>
      <c r="R23" s="89"/>
      <c r="S23" s="89"/>
      <c r="T23" s="89"/>
      <c r="U23" s="89"/>
    </row>
    <row r="24" hidden="1" customHeight="1" spans="1:21">
      <c r="A24" s="88">
        <v>46205</v>
      </c>
      <c r="B24" s="89"/>
      <c r="C24" s="89" t="s">
        <v>48</v>
      </c>
      <c r="D24" s="89"/>
      <c r="E24" s="89"/>
      <c r="F24" s="89"/>
      <c r="G24" s="89"/>
      <c r="H24" s="89"/>
      <c r="I24" s="89"/>
      <c r="J24" s="89">
        <v>295</v>
      </c>
      <c r="K24" s="89" t="s">
        <v>80</v>
      </c>
      <c r="L24" s="89"/>
      <c r="M24" s="89"/>
      <c r="N24" s="89"/>
      <c r="O24" s="89" t="s">
        <v>127</v>
      </c>
      <c r="P24" s="89"/>
      <c r="Q24" s="89"/>
      <c r="R24" s="89"/>
      <c r="S24" s="89"/>
      <c r="T24" s="89"/>
      <c r="U24" s="89"/>
    </row>
    <row r="25" hidden="1" customHeight="1" spans="1:21">
      <c r="A25" s="88">
        <v>46205</v>
      </c>
      <c r="B25" s="89"/>
      <c r="C25" s="89" t="s">
        <v>52</v>
      </c>
      <c r="D25" s="89"/>
      <c r="E25" s="89"/>
      <c r="F25" s="89"/>
      <c r="G25" s="89"/>
      <c r="H25" s="89"/>
      <c r="I25" s="89"/>
      <c r="J25" s="89">
        <v>409.7</v>
      </c>
      <c r="K25" s="89" t="s">
        <v>80</v>
      </c>
      <c r="L25" s="89"/>
      <c r="M25" s="89"/>
      <c r="N25" s="89"/>
      <c r="O25" s="89"/>
      <c r="P25" s="89"/>
      <c r="Q25" s="89"/>
      <c r="R25" s="89"/>
      <c r="S25" s="89"/>
      <c r="T25" s="89"/>
      <c r="U25" s="89"/>
    </row>
    <row r="26" hidden="1" customHeight="1" spans="1:21">
      <c r="A26" s="88">
        <v>46205</v>
      </c>
      <c r="B26" s="89"/>
      <c r="C26" s="89" t="s">
        <v>53</v>
      </c>
      <c r="D26" s="89"/>
      <c r="E26" s="89"/>
      <c r="F26" s="89"/>
      <c r="G26" s="89"/>
      <c r="H26" s="89"/>
      <c r="I26" s="89"/>
      <c r="J26" s="89">
        <v>0</v>
      </c>
      <c r="K26" s="89" t="s">
        <v>80</v>
      </c>
      <c r="L26" s="89"/>
      <c r="M26" s="89"/>
      <c r="N26" s="89"/>
      <c r="O26" s="89"/>
      <c r="P26" s="89"/>
      <c r="Q26" s="89"/>
      <c r="R26" s="89"/>
      <c r="S26" s="89"/>
      <c r="T26" s="89"/>
      <c r="U26" s="89"/>
    </row>
    <row r="27" hidden="1" customHeight="1" spans="1:21">
      <c r="A27" s="88">
        <v>46205</v>
      </c>
      <c r="B27" s="89"/>
      <c r="C27" s="89" t="s">
        <v>47</v>
      </c>
      <c r="D27" s="89"/>
      <c r="E27" s="89"/>
      <c r="F27" s="89"/>
      <c r="G27" s="89"/>
      <c r="H27" s="89"/>
      <c r="I27" s="89"/>
      <c r="J27" s="89">
        <v>0</v>
      </c>
      <c r="K27" s="89" t="s">
        <v>80</v>
      </c>
      <c r="L27" s="89"/>
      <c r="M27" s="89"/>
      <c r="N27" s="89"/>
      <c r="O27" s="89"/>
      <c r="P27" s="89"/>
      <c r="Q27" s="89"/>
      <c r="R27" s="89"/>
      <c r="S27" s="89"/>
      <c r="T27" s="89"/>
      <c r="U27" s="89"/>
    </row>
    <row r="28" ht="32" hidden="1" customHeight="1" spans="1:21">
      <c r="A28" s="83">
        <v>46205</v>
      </c>
      <c r="B28" s="41">
        <v>2923780</v>
      </c>
      <c r="C28" s="41" t="s">
        <v>43</v>
      </c>
      <c r="D28" s="41" t="s">
        <v>128</v>
      </c>
      <c r="E28" s="41">
        <v>18162660123</v>
      </c>
      <c r="F28" s="41" t="s">
        <v>96</v>
      </c>
      <c r="H28" s="41" t="s">
        <v>84</v>
      </c>
      <c r="I28" s="41" t="s">
        <v>55</v>
      </c>
      <c r="J28" s="41">
        <v>2000</v>
      </c>
      <c r="K28" s="41" t="s">
        <v>97</v>
      </c>
      <c r="O28" s="41" t="s">
        <v>129</v>
      </c>
      <c r="P28" s="41">
        <v>9122634</v>
      </c>
      <c r="Q28" s="41" t="s">
        <v>87</v>
      </c>
      <c r="R28" s="41" t="s">
        <v>88</v>
      </c>
      <c r="S28" s="41" t="s">
        <v>87</v>
      </c>
      <c r="T28" s="41" t="s">
        <v>89</v>
      </c>
    </row>
    <row r="29" hidden="1" customHeight="1" spans="1:21">
      <c r="A29" s="83">
        <v>46205</v>
      </c>
      <c r="B29" s="41">
        <v>2460921</v>
      </c>
      <c r="C29" s="41" t="s">
        <v>43</v>
      </c>
      <c r="D29" s="41" t="s">
        <v>130</v>
      </c>
      <c r="E29" s="41">
        <v>13307141995</v>
      </c>
      <c r="F29" s="41" t="s">
        <v>131</v>
      </c>
      <c r="H29" s="41" t="s">
        <v>84</v>
      </c>
      <c r="I29" s="41" t="s">
        <v>55</v>
      </c>
      <c r="J29" s="41">
        <v>280</v>
      </c>
      <c r="K29" s="41" t="s">
        <v>85</v>
      </c>
      <c r="O29" s="41" t="s">
        <v>131</v>
      </c>
      <c r="P29" s="41">
        <v>9122503</v>
      </c>
      <c r="Q29" s="41" t="s">
        <v>87</v>
      </c>
      <c r="R29" s="41" t="s">
        <v>88</v>
      </c>
      <c r="S29" s="41" t="s">
        <v>87</v>
      </c>
      <c r="T29" s="41" t="s">
        <v>89</v>
      </c>
    </row>
    <row r="30" hidden="1" customHeight="1" spans="1:21">
      <c r="A30" s="83">
        <v>46205</v>
      </c>
      <c r="B30" s="41">
        <v>2923778</v>
      </c>
      <c r="C30" s="41" t="s">
        <v>45</v>
      </c>
      <c r="D30" s="41" t="s">
        <v>132</v>
      </c>
      <c r="E30" s="41">
        <v>17762672291</v>
      </c>
      <c r="F30" s="41" t="s">
        <v>83</v>
      </c>
      <c r="H30" s="41" t="s">
        <v>84</v>
      </c>
      <c r="I30" s="41" t="s">
        <v>55</v>
      </c>
      <c r="J30" s="41">
        <v>1500</v>
      </c>
      <c r="K30" s="41" t="s">
        <v>133</v>
      </c>
      <c r="O30" s="41" t="s">
        <v>134</v>
      </c>
      <c r="P30" s="41">
        <v>9310364</v>
      </c>
      <c r="Q30" s="41" t="s">
        <v>87</v>
      </c>
      <c r="R30" s="41" t="s">
        <v>88</v>
      </c>
      <c r="S30" s="41" t="s">
        <v>87</v>
      </c>
      <c r="T30" s="41" t="s">
        <v>89</v>
      </c>
    </row>
    <row r="31" hidden="1" customHeight="1" spans="1:21">
      <c r="A31" s="83">
        <v>46205</v>
      </c>
      <c r="B31" s="41">
        <v>2923779</v>
      </c>
      <c r="C31" s="41" t="s">
        <v>43</v>
      </c>
      <c r="D31" s="41" t="s">
        <v>135</v>
      </c>
      <c r="E31" s="41">
        <v>15752783542</v>
      </c>
      <c r="F31" s="41" t="s">
        <v>136</v>
      </c>
      <c r="H31" s="41" t="s">
        <v>137</v>
      </c>
      <c r="I31" s="41" t="s">
        <v>55</v>
      </c>
      <c r="J31" s="41">
        <v>400</v>
      </c>
      <c r="K31" s="41" t="s">
        <v>118</v>
      </c>
      <c r="O31" s="41" t="s">
        <v>138</v>
      </c>
    </row>
    <row r="32" hidden="1" customHeight="1" spans="1:21">
      <c r="A32" s="83">
        <v>46205</v>
      </c>
      <c r="B32" s="41">
        <v>2923781</v>
      </c>
      <c r="C32" s="41" t="s">
        <v>43</v>
      </c>
      <c r="D32" s="41" t="s">
        <v>139</v>
      </c>
      <c r="E32" s="41">
        <v>15342258295</v>
      </c>
      <c r="F32" s="41" t="s">
        <v>140</v>
      </c>
      <c r="H32" s="41" t="s">
        <v>84</v>
      </c>
      <c r="I32" s="41" t="s">
        <v>55</v>
      </c>
      <c r="J32" s="41">
        <v>1500</v>
      </c>
      <c r="K32" s="41" t="s">
        <v>97</v>
      </c>
      <c r="O32" s="41" t="s">
        <v>141</v>
      </c>
      <c r="P32" s="41">
        <v>9122504</v>
      </c>
      <c r="Q32" s="41" t="s">
        <v>87</v>
      </c>
      <c r="R32" s="41" t="s">
        <v>88</v>
      </c>
      <c r="S32" s="41" t="s">
        <v>87</v>
      </c>
      <c r="T32" s="41" t="s">
        <v>89</v>
      </c>
    </row>
    <row r="33" ht="27" hidden="1" customHeight="1" spans="1:21">
      <c r="A33" s="83">
        <v>46205</v>
      </c>
      <c r="B33" s="41">
        <v>2923782</v>
      </c>
      <c r="C33" s="41" t="s">
        <v>45</v>
      </c>
      <c r="D33" s="41" t="s">
        <v>142</v>
      </c>
      <c r="E33" s="41">
        <v>13659885255</v>
      </c>
      <c r="F33" s="41" t="s">
        <v>91</v>
      </c>
      <c r="H33" s="41" t="s">
        <v>84</v>
      </c>
      <c r="I33" s="41" t="s">
        <v>55</v>
      </c>
      <c r="J33" s="41">
        <v>1000</v>
      </c>
      <c r="K33" s="41" t="s">
        <v>85</v>
      </c>
      <c r="O33" s="41" t="s">
        <v>143</v>
      </c>
      <c r="P33" s="41">
        <v>9309287</v>
      </c>
      <c r="Q33" s="41" t="s">
        <v>87</v>
      </c>
      <c r="R33" s="41" t="s">
        <v>88</v>
      </c>
      <c r="S33" s="41" t="s">
        <v>87</v>
      </c>
      <c r="T33" s="41" t="s">
        <v>89</v>
      </c>
    </row>
    <row r="34" ht="29" hidden="1" customHeight="1" spans="1:21">
      <c r="A34" s="83">
        <v>46205</v>
      </c>
      <c r="B34" s="41">
        <v>2923783</v>
      </c>
      <c r="C34" s="41" t="s">
        <v>43</v>
      </c>
      <c r="D34" s="41" t="s">
        <v>144</v>
      </c>
      <c r="E34" s="41">
        <v>18327058998</v>
      </c>
      <c r="F34" s="41" t="s">
        <v>111</v>
      </c>
      <c r="H34" s="41" t="s">
        <v>84</v>
      </c>
      <c r="I34" s="41" t="s">
        <v>55</v>
      </c>
      <c r="J34" s="41">
        <v>1000</v>
      </c>
      <c r="K34" s="41" t="s">
        <v>85</v>
      </c>
      <c r="O34" s="41" t="s">
        <v>145</v>
      </c>
      <c r="P34" s="41">
        <v>9122505</v>
      </c>
      <c r="Q34" s="41" t="s">
        <v>87</v>
      </c>
      <c r="R34" s="41" t="s">
        <v>88</v>
      </c>
      <c r="S34" s="41" t="s">
        <v>87</v>
      </c>
      <c r="T34" s="41" t="s">
        <v>89</v>
      </c>
    </row>
    <row r="35" ht="29" hidden="1" customHeight="1" spans="1:21">
      <c r="A35" s="83">
        <v>46205</v>
      </c>
      <c r="B35" s="41">
        <v>2923784</v>
      </c>
      <c r="C35" s="41" t="s">
        <v>43</v>
      </c>
      <c r="D35" s="41" t="s">
        <v>146</v>
      </c>
      <c r="E35" s="41">
        <v>18694043431</v>
      </c>
      <c r="F35" s="41" t="s">
        <v>91</v>
      </c>
      <c r="G35" s="41">
        <v>10</v>
      </c>
      <c r="H35" s="41" t="s">
        <v>84</v>
      </c>
      <c r="I35" s="41" t="s">
        <v>55</v>
      </c>
      <c r="J35" s="41">
        <v>1900</v>
      </c>
      <c r="K35" s="41" t="s">
        <v>85</v>
      </c>
      <c r="O35" s="41" t="s">
        <v>147</v>
      </c>
      <c r="P35" s="41">
        <v>9309288</v>
      </c>
      <c r="Q35" s="41" t="s">
        <v>87</v>
      </c>
      <c r="R35" s="41" t="s">
        <v>88</v>
      </c>
      <c r="S35" s="41" t="s">
        <v>87</v>
      </c>
      <c r="T35" s="41" t="s">
        <v>89</v>
      </c>
    </row>
    <row r="36" hidden="1" customHeight="1" spans="1:21">
      <c r="A36" s="83">
        <v>46205</v>
      </c>
      <c r="C36" s="41" t="s">
        <v>43</v>
      </c>
      <c r="H36" s="41" t="s">
        <v>84</v>
      </c>
      <c r="I36" s="41" t="s">
        <v>55</v>
      </c>
      <c r="J36" s="41">
        <v>40</v>
      </c>
      <c r="K36" s="41" t="s">
        <v>118</v>
      </c>
      <c r="O36" s="41" t="s">
        <v>148</v>
      </c>
    </row>
    <row r="37" hidden="1" customHeight="1" spans="1:21">
      <c r="A37" s="83">
        <v>46205</v>
      </c>
      <c r="B37" s="41">
        <v>2823801</v>
      </c>
      <c r="C37" s="41" t="s">
        <v>44</v>
      </c>
      <c r="D37" s="41" t="s">
        <v>149</v>
      </c>
      <c r="E37" s="41">
        <v>15733133618</v>
      </c>
      <c r="F37" s="41" t="s">
        <v>150</v>
      </c>
      <c r="G37" s="41">
        <v>14</v>
      </c>
      <c r="H37" s="41" t="s">
        <v>84</v>
      </c>
      <c r="I37" s="41" t="s">
        <v>55</v>
      </c>
      <c r="J37" s="41">
        <v>2356</v>
      </c>
      <c r="K37" s="41" t="s">
        <v>151</v>
      </c>
      <c r="O37" s="41" t="s">
        <v>150</v>
      </c>
      <c r="P37" s="41">
        <v>9205528</v>
      </c>
      <c r="Q37" s="41" t="s">
        <v>87</v>
      </c>
      <c r="R37" s="41" t="s">
        <v>88</v>
      </c>
      <c r="S37" s="41" t="s">
        <v>87</v>
      </c>
      <c r="T37" s="41" t="s">
        <v>89</v>
      </c>
    </row>
    <row r="38" hidden="1" customHeight="1" spans="1:21">
      <c r="A38" s="83">
        <v>46205</v>
      </c>
      <c r="B38" s="41">
        <v>2923593</v>
      </c>
      <c r="C38" s="41" t="s">
        <v>43</v>
      </c>
      <c r="D38" s="41" t="s">
        <v>152</v>
      </c>
      <c r="E38" s="41">
        <v>13517275476</v>
      </c>
      <c r="F38" s="41" t="s">
        <v>131</v>
      </c>
      <c r="H38" s="90" t="s">
        <v>153</v>
      </c>
      <c r="J38" s="41">
        <v>291</v>
      </c>
      <c r="K38" s="41" t="s">
        <v>118</v>
      </c>
      <c r="O38" s="90" t="s">
        <v>154</v>
      </c>
      <c r="P38" s="41">
        <v>9123249</v>
      </c>
      <c r="Q38" s="41" t="s">
        <v>87</v>
      </c>
      <c r="R38" s="41" t="s">
        <v>88</v>
      </c>
      <c r="S38" s="41" t="s">
        <v>87</v>
      </c>
      <c r="T38" s="41" t="s">
        <v>89</v>
      </c>
    </row>
    <row r="39" hidden="1" customHeight="1" spans="1:21">
      <c r="A39" s="88">
        <v>46206</v>
      </c>
      <c r="B39" s="89"/>
      <c r="C39" s="89" t="s">
        <v>50</v>
      </c>
      <c r="D39" s="89"/>
      <c r="E39" s="89"/>
      <c r="F39" s="89"/>
      <c r="G39" s="89"/>
      <c r="H39" s="89"/>
      <c r="I39" s="89"/>
      <c r="J39" s="89">
        <v>23</v>
      </c>
      <c r="K39" s="89" t="s">
        <v>80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</row>
    <row r="40" hidden="1" customHeight="1" spans="1:21">
      <c r="A40" s="88">
        <v>46206</v>
      </c>
      <c r="B40" s="89"/>
      <c r="C40" s="89" t="s">
        <v>48</v>
      </c>
      <c r="D40" s="89"/>
      <c r="E40" s="89"/>
      <c r="F40" s="89"/>
      <c r="G40" s="89"/>
      <c r="H40" s="89"/>
      <c r="I40" s="89"/>
      <c r="J40" s="89">
        <v>80</v>
      </c>
      <c r="K40" s="89" t="s">
        <v>80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</row>
    <row r="41" hidden="1" customHeight="1" spans="1:21">
      <c r="A41" s="88">
        <v>46206</v>
      </c>
      <c r="B41" s="89"/>
      <c r="C41" s="89" t="s">
        <v>52</v>
      </c>
      <c r="D41" s="89"/>
      <c r="E41" s="89"/>
      <c r="F41" s="89"/>
      <c r="G41" s="89"/>
      <c r="H41" s="89"/>
      <c r="I41" s="89"/>
      <c r="J41" s="89">
        <v>29.7</v>
      </c>
      <c r="K41" s="89" t="s">
        <v>80</v>
      </c>
      <c r="L41" s="89"/>
      <c r="M41" s="89"/>
      <c r="N41" s="89"/>
      <c r="O41" s="89"/>
      <c r="P41" s="89"/>
      <c r="Q41" s="89"/>
      <c r="R41" s="89"/>
      <c r="S41" s="89"/>
      <c r="T41" s="89"/>
      <c r="U41" s="89"/>
    </row>
    <row r="42" hidden="1" customHeight="1" spans="1:21">
      <c r="A42" s="88">
        <v>46206</v>
      </c>
      <c r="B42" s="89"/>
      <c r="C42" s="89" t="s">
        <v>53</v>
      </c>
      <c r="D42" s="89"/>
      <c r="E42" s="89"/>
      <c r="F42" s="89"/>
      <c r="G42" s="89"/>
      <c r="H42" s="89"/>
      <c r="I42" s="89"/>
      <c r="J42" s="89">
        <v>0</v>
      </c>
      <c r="K42" s="89" t="s">
        <v>80</v>
      </c>
      <c r="L42" s="89"/>
      <c r="M42" s="89"/>
      <c r="N42" s="89"/>
      <c r="O42" s="89"/>
      <c r="P42" s="89"/>
      <c r="Q42" s="89"/>
      <c r="R42" s="89"/>
      <c r="S42" s="89"/>
      <c r="T42" s="89"/>
      <c r="U42" s="89"/>
    </row>
    <row r="43" hidden="1" customHeight="1" spans="1:21">
      <c r="A43" s="88">
        <v>46206</v>
      </c>
      <c r="B43" s="89"/>
      <c r="C43" s="89" t="s">
        <v>47</v>
      </c>
      <c r="D43" s="89"/>
      <c r="E43" s="89"/>
      <c r="F43" s="89"/>
      <c r="G43" s="89"/>
      <c r="H43" s="89"/>
      <c r="I43" s="89"/>
      <c r="J43" s="89">
        <v>0</v>
      </c>
      <c r="K43" s="89" t="s">
        <v>80</v>
      </c>
      <c r="L43" s="89"/>
      <c r="M43" s="89"/>
      <c r="N43" s="89"/>
      <c r="O43" s="89"/>
      <c r="P43" s="89"/>
      <c r="Q43" s="89"/>
      <c r="R43" s="89"/>
      <c r="S43" s="89"/>
      <c r="T43" s="89"/>
      <c r="U43" s="89"/>
    </row>
    <row r="44" ht="31" hidden="1" customHeight="1" spans="1:21">
      <c r="A44" s="83">
        <v>46206</v>
      </c>
      <c r="B44" s="41">
        <v>2923785</v>
      </c>
      <c r="C44" s="41" t="s">
        <v>45</v>
      </c>
      <c r="D44" s="41" t="s">
        <v>155</v>
      </c>
      <c r="E44" s="41">
        <v>15071369079</v>
      </c>
      <c r="F44" s="41" t="s">
        <v>115</v>
      </c>
      <c r="H44" s="41" t="s">
        <v>84</v>
      </c>
      <c r="I44" s="41" t="s">
        <v>55</v>
      </c>
      <c r="J44" s="41">
        <v>1000</v>
      </c>
      <c r="K44" s="41" t="s">
        <v>156</v>
      </c>
      <c r="O44" s="41" t="s">
        <v>157</v>
      </c>
      <c r="P44" s="41">
        <v>9123250</v>
      </c>
      <c r="Q44" s="41" t="s">
        <v>87</v>
      </c>
      <c r="R44" s="41" t="s">
        <v>88</v>
      </c>
      <c r="S44" s="41" t="s">
        <v>87</v>
      </c>
      <c r="T44" s="41" t="s">
        <v>89</v>
      </c>
    </row>
    <row r="45" hidden="1" customHeight="1" spans="1:21">
      <c r="A45" s="83">
        <v>46206</v>
      </c>
      <c r="B45" s="41">
        <v>2823802</v>
      </c>
      <c r="C45" s="41" t="s">
        <v>44</v>
      </c>
      <c r="D45" s="41" t="s">
        <v>158</v>
      </c>
      <c r="E45" s="41">
        <v>18310021447</v>
      </c>
      <c r="F45" s="41" t="s">
        <v>92</v>
      </c>
      <c r="H45" s="41" t="s">
        <v>92</v>
      </c>
      <c r="I45" s="41" t="s">
        <v>55</v>
      </c>
      <c r="J45" s="41">
        <v>200</v>
      </c>
      <c r="K45" s="41" t="s">
        <v>159</v>
      </c>
      <c r="O45" s="41" t="s">
        <v>160</v>
      </c>
    </row>
    <row r="46" hidden="1" customHeight="1" spans="1:21">
      <c r="A46" s="83">
        <v>46206</v>
      </c>
      <c r="B46" s="41">
        <v>2955202</v>
      </c>
      <c r="C46" s="41" t="s">
        <v>43</v>
      </c>
      <c r="D46" s="41" t="s">
        <v>161</v>
      </c>
      <c r="E46" s="41">
        <v>13707225103</v>
      </c>
      <c r="F46" s="41" t="s">
        <v>96</v>
      </c>
      <c r="H46" s="41" t="s">
        <v>84</v>
      </c>
      <c r="I46" s="41" t="s">
        <v>55</v>
      </c>
      <c r="J46" s="41">
        <v>1800</v>
      </c>
      <c r="K46" s="41" t="s">
        <v>85</v>
      </c>
      <c r="O46" s="41" t="s">
        <v>162</v>
      </c>
      <c r="P46" s="41">
        <v>9122506</v>
      </c>
      <c r="Q46" s="41" t="s">
        <v>87</v>
      </c>
      <c r="R46" s="41" t="s">
        <v>88</v>
      </c>
      <c r="S46" s="41" t="s">
        <v>87</v>
      </c>
      <c r="T46" s="41" t="s">
        <v>89</v>
      </c>
    </row>
    <row r="47" ht="30" hidden="1" customHeight="1" spans="1:21">
      <c r="A47" s="83">
        <v>46206</v>
      </c>
      <c r="B47" s="41">
        <v>2955203</v>
      </c>
      <c r="C47" s="41" t="s">
        <v>43</v>
      </c>
      <c r="D47" s="41" t="s">
        <v>163</v>
      </c>
      <c r="E47" s="41">
        <v>13667253588</v>
      </c>
      <c r="F47" s="41" t="s">
        <v>96</v>
      </c>
      <c r="H47" s="41" t="s">
        <v>84</v>
      </c>
      <c r="I47" s="41" t="s">
        <v>58</v>
      </c>
      <c r="J47" s="41">
        <v>1000</v>
      </c>
      <c r="K47" s="41" t="s">
        <v>85</v>
      </c>
      <c r="O47" s="41" t="s">
        <v>98</v>
      </c>
      <c r="P47" s="41">
        <v>9122507</v>
      </c>
      <c r="Q47" s="41" t="s">
        <v>87</v>
      </c>
      <c r="R47" s="41" t="s">
        <v>88</v>
      </c>
      <c r="S47" s="41" t="s">
        <v>87</v>
      </c>
      <c r="T47" s="41" t="s">
        <v>89</v>
      </c>
    </row>
    <row r="48" ht="28" hidden="1" customHeight="1" spans="1:21">
      <c r="A48" s="83">
        <v>46206</v>
      </c>
      <c r="B48" s="41">
        <v>2460923</v>
      </c>
      <c r="C48" s="41" t="s">
        <v>43</v>
      </c>
      <c r="D48" s="41" t="s">
        <v>164</v>
      </c>
      <c r="E48" s="41">
        <v>18271121988</v>
      </c>
      <c r="F48" s="41" t="s">
        <v>83</v>
      </c>
      <c r="H48" s="41" t="s">
        <v>137</v>
      </c>
      <c r="I48" s="41" t="s">
        <v>55</v>
      </c>
      <c r="J48" s="41">
        <v>400</v>
      </c>
      <c r="K48" s="41" t="s">
        <v>85</v>
      </c>
      <c r="O48" s="41" t="s">
        <v>165</v>
      </c>
    </row>
    <row r="49" hidden="1" customHeight="1" spans="1:21">
      <c r="A49" s="83">
        <v>46206</v>
      </c>
      <c r="B49" s="41">
        <v>2955205</v>
      </c>
      <c r="C49" s="41" t="s">
        <v>45</v>
      </c>
      <c r="D49" s="41" t="s">
        <v>166</v>
      </c>
      <c r="E49" s="41">
        <v>18627723203</v>
      </c>
      <c r="F49" s="41" t="s">
        <v>131</v>
      </c>
      <c r="H49" s="41" t="s">
        <v>84</v>
      </c>
      <c r="I49" s="41" t="s">
        <v>55</v>
      </c>
      <c r="J49" s="41">
        <v>1400</v>
      </c>
      <c r="K49" s="41" t="s">
        <v>167</v>
      </c>
      <c r="O49" s="41" t="s">
        <v>168</v>
      </c>
      <c r="P49" s="41">
        <v>9122509</v>
      </c>
      <c r="Q49" s="41" t="s">
        <v>87</v>
      </c>
      <c r="R49" s="41" t="s">
        <v>88</v>
      </c>
      <c r="S49" s="41" t="s">
        <v>87</v>
      </c>
      <c r="T49" s="41" t="s">
        <v>89</v>
      </c>
    </row>
    <row r="50" ht="24" hidden="1" customHeight="1" spans="1:21">
      <c r="A50" s="83">
        <v>46206</v>
      </c>
      <c r="B50" s="41">
        <v>2823800</v>
      </c>
      <c r="C50" s="41" t="s">
        <v>43</v>
      </c>
      <c r="D50" s="41" t="s">
        <v>169</v>
      </c>
      <c r="E50" s="41">
        <v>18086628925</v>
      </c>
      <c r="F50" s="41" t="s">
        <v>131</v>
      </c>
      <c r="J50" s="41">
        <v>285</v>
      </c>
      <c r="K50" s="41" t="s">
        <v>85</v>
      </c>
      <c r="O50" s="91" t="s">
        <v>170</v>
      </c>
      <c r="P50" s="41">
        <v>9122508</v>
      </c>
      <c r="Q50" s="41" t="s">
        <v>87</v>
      </c>
      <c r="R50" s="41" t="s">
        <v>88</v>
      </c>
      <c r="S50" s="41" t="s">
        <v>87</v>
      </c>
      <c r="T50" s="41" t="s">
        <v>89</v>
      </c>
    </row>
    <row r="51" ht="29" hidden="1" customHeight="1" spans="1:21">
      <c r="A51" s="83">
        <v>46206</v>
      </c>
      <c r="C51" s="41" t="s">
        <v>44</v>
      </c>
      <c r="H51" s="41" t="s">
        <v>84</v>
      </c>
      <c r="I51" s="41" t="s">
        <v>55</v>
      </c>
      <c r="J51" s="41">
        <v>260</v>
      </c>
      <c r="K51" s="41" t="s">
        <v>171</v>
      </c>
    </row>
    <row r="52" hidden="1" customHeight="1" spans="1:21">
      <c r="A52" s="88">
        <v>46207</v>
      </c>
      <c r="B52" s="89"/>
      <c r="C52" s="89" t="s">
        <v>50</v>
      </c>
      <c r="D52" s="89"/>
      <c r="E52" s="89"/>
      <c r="F52" s="89"/>
      <c r="G52" s="89"/>
      <c r="H52" s="89"/>
      <c r="I52" s="89"/>
      <c r="J52" s="89">
        <v>27</v>
      </c>
      <c r="K52" s="89" t="s">
        <v>80</v>
      </c>
      <c r="L52" s="89"/>
      <c r="M52" s="89"/>
      <c r="N52" s="89"/>
      <c r="O52" s="89"/>
      <c r="P52" s="89"/>
      <c r="Q52" s="89"/>
      <c r="R52" s="89"/>
      <c r="S52" s="89"/>
      <c r="T52" s="89"/>
      <c r="U52" s="89"/>
    </row>
    <row r="53" hidden="1" customHeight="1" spans="1:21">
      <c r="A53" s="88">
        <v>46207</v>
      </c>
      <c r="B53" s="89"/>
      <c r="C53" s="89" t="s">
        <v>48</v>
      </c>
      <c r="D53" s="89"/>
      <c r="E53" s="89"/>
      <c r="F53" s="89"/>
      <c r="G53" s="89"/>
      <c r="H53" s="89"/>
      <c r="I53" s="89"/>
      <c r="J53" s="89">
        <v>20</v>
      </c>
      <c r="K53" s="89" t="s">
        <v>80</v>
      </c>
      <c r="L53" s="89"/>
      <c r="M53" s="89"/>
      <c r="N53" s="89"/>
      <c r="O53" s="89"/>
      <c r="P53" s="89"/>
      <c r="Q53" s="89"/>
      <c r="R53" s="89"/>
      <c r="S53" s="89"/>
      <c r="T53" s="89"/>
      <c r="U53" s="89"/>
    </row>
    <row r="54" hidden="1" customHeight="1" spans="1:21">
      <c r="A54" s="88">
        <v>46207</v>
      </c>
      <c r="B54" s="89"/>
      <c r="C54" s="89" t="s">
        <v>52</v>
      </c>
      <c r="D54" s="89"/>
      <c r="E54" s="89"/>
      <c r="F54" s="89"/>
      <c r="G54" s="89"/>
      <c r="H54" s="89"/>
      <c r="I54" s="89"/>
      <c r="J54" s="89">
        <v>29.7</v>
      </c>
      <c r="K54" s="89" t="s">
        <v>80</v>
      </c>
      <c r="L54" s="89"/>
      <c r="M54" s="89"/>
      <c r="N54" s="89"/>
      <c r="O54" s="89"/>
      <c r="P54" s="89"/>
      <c r="Q54" s="89"/>
      <c r="R54" s="89"/>
      <c r="S54" s="89"/>
      <c r="T54" s="89"/>
      <c r="U54" s="89"/>
    </row>
    <row r="55" hidden="1" customHeight="1" spans="1:21">
      <c r="A55" s="88">
        <v>46207</v>
      </c>
      <c r="B55" s="89"/>
      <c r="C55" s="89" t="s">
        <v>53</v>
      </c>
      <c r="D55" s="89"/>
      <c r="E55" s="89"/>
      <c r="F55" s="89"/>
      <c r="G55" s="89"/>
      <c r="H55" s="89"/>
      <c r="I55" s="89"/>
      <c r="J55" s="89">
        <v>0</v>
      </c>
      <c r="K55" s="89" t="s">
        <v>80</v>
      </c>
      <c r="L55" s="89"/>
      <c r="M55" s="89"/>
      <c r="N55" s="89"/>
      <c r="O55" s="89"/>
      <c r="P55" s="89"/>
      <c r="Q55" s="89"/>
      <c r="R55" s="89"/>
      <c r="S55" s="89"/>
      <c r="T55" s="89"/>
      <c r="U55" s="89"/>
    </row>
    <row r="56" hidden="1" customHeight="1" spans="1:21">
      <c r="A56" s="88">
        <v>46207</v>
      </c>
      <c r="B56" s="89"/>
      <c r="C56" s="89" t="s">
        <v>47</v>
      </c>
      <c r="D56" s="89"/>
      <c r="E56" s="89"/>
      <c r="F56" s="89"/>
      <c r="G56" s="89"/>
      <c r="H56" s="89"/>
      <c r="I56" s="89"/>
      <c r="J56" s="89">
        <v>0</v>
      </c>
      <c r="K56" s="89" t="s">
        <v>80</v>
      </c>
      <c r="L56" s="89"/>
      <c r="M56" s="89"/>
      <c r="N56" s="89"/>
      <c r="O56" s="89"/>
      <c r="P56" s="89"/>
      <c r="Q56" s="89"/>
      <c r="R56" s="89"/>
      <c r="S56" s="89"/>
      <c r="T56" s="89"/>
      <c r="U56" s="89"/>
    </row>
    <row r="57" hidden="1" customHeight="1" spans="1:21">
      <c r="A57" s="83">
        <v>46207</v>
      </c>
      <c r="B57" s="41">
        <v>2955206</v>
      </c>
      <c r="C57" s="41" t="s">
        <v>43</v>
      </c>
      <c r="D57" s="41" t="s">
        <v>172</v>
      </c>
      <c r="E57" s="41">
        <v>15025766950</v>
      </c>
      <c r="F57" s="41" t="s">
        <v>115</v>
      </c>
      <c r="H57" s="41" t="s">
        <v>84</v>
      </c>
      <c r="I57" s="41" t="s">
        <v>55</v>
      </c>
      <c r="J57" s="41">
        <v>100</v>
      </c>
      <c r="K57" s="41" t="s">
        <v>85</v>
      </c>
      <c r="O57" s="41" t="s">
        <v>173</v>
      </c>
    </row>
    <row r="58" hidden="1" customHeight="1" spans="1:21">
      <c r="A58" s="83">
        <v>46207</v>
      </c>
      <c r="B58" s="41">
        <v>2955207</v>
      </c>
      <c r="C58" s="41" t="s">
        <v>43</v>
      </c>
      <c r="D58" s="41" t="s">
        <v>174</v>
      </c>
      <c r="E58" s="41">
        <v>13554140983</v>
      </c>
      <c r="F58" s="41" t="s">
        <v>91</v>
      </c>
      <c r="H58" s="41" t="s">
        <v>84</v>
      </c>
      <c r="I58" s="41" t="s">
        <v>55</v>
      </c>
      <c r="J58" s="41">
        <v>1000</v>
      </c>
      <c r="K58" s="41" t="s">
        <v>85</v>
      </c>
      <c r="O58" s="41" t="s">
        <v>175</v>
      </c>
      <c r="P58" s="41">
        <v>9308995</v>
      </c>
      <c r="Q58" s="41" t="s">
        <v>87</v>
      </c>
      <c r="R58" s="41" t="s">
        <v>88</v>
      </c>
      <c r="S58" s="41" t="s">
        <v>87</v>
      </c>
      <c r="T58" s="41" t="s">
        <v>89</v>
      </c>
    </row>
    <row r="59" ht="30" hidden="1" customHeight="1" spans="1:21">
      <c r="A59" s="83">
        <v>46207</v>
      </c>
      <c r="B59" s="41">
        <v>2955209</v>
      </c>
      <c r="C59" s="41" t="s">
        <v>45</v>
      </c>
      <c r="D59" s="44" t="s">
        <v>176</v>
      </c>
      <c r="E59" s="41">
        <v>13886189673</v>
      </c>
      <c r="F59" s="41" t="s">
        <v>83</v>
      </c>
      <c r="H59" s="41" t="s">
        <v>84</v>
      </c>
      <c r="I59" s="41" t="s">
        <v>55</v>
      </c>
      <c r="J59" s="41">
        <v>4599</v>
      </c>
      <c r="K59" s="41" t="s">
        <v>85</v>
      </c>
      <c r="O59" s="41" t="s">
        <v>177</v>
      </c>
      <c r="P59" s="41">
        <v>9309289</v>
      </c>
      <c r="Q59" s="41" t="s">
        <v>87</v>
      </c>
      <c r="R59" s="41" t="s">
        <v>88</v>
      </c>
      <c r="S59" s="41" t="s">
        <v>87</v>
      </c>
      <c r="T59" s="41" t="s">
        <v>89</v>
      </c>
    </row>
    <row r="60" hidden="1" customHeight="1" spans="1:21">
      <c r="A60" s="83">
        <v>46207</v>
      </c>
      <c r="B60" s="41">
        <v>2955210</v>
      </c>
      <c r="C60" s="41" t="s">
        <v>43</v>
      </c>
      <c r="D60" s="41" t="s">
        <v>178</v>
      </c>
      <c r="E60" s="41">
        <v>13476190668</v>
      </c>
      <c r="F60" s="41" t="s">
        <v>115</v>
      </c>
      <c r="H60" s="41" t="s">
        <v>84</v>
      </c>
      <c r="I60" s="41" t="s">
        <v>55</v>
      </c>
      <c r="J60" s="41">
        <v>500</v>
      </c>
      <c r="K60" s="41" t="s">
        <v>85</v>
      </c>
      <c r="O60" s="41" t="s">
        <v>179</v>
      </c>
      <c r="P60" s="41">
        <v>9122510</v>
      </c>
      <c r="Q60" s="41" t="s">
        <v>87</v>
      </c>
      <c r="R60" s="41" t="s">
        <v>87</v>
      </c>
      <c r="S60" s="41" t="s">
        <v>87</v>
      </c>
      <c r="T60" s="41" t="s">
        <v>89</v>
      </c>
    </row>
    <row r="61" ht="30" hidden="1" customHeight="1" spans="1:21">
      <c r="A61" s="83">
        <v>46207</v>
      </c>
      <c r="B61" s="41">
        <v>2955211</v>
      </c>
      <c r="C61" s="41" t="s">
        <v>45</v>
      </c>
      <c r="D61" s="44" t="s">
        <v>180</v>
      </c>
      <c r="E61" s="44" t="s">
        <v>181</v>
      </c>
      <c r="F61" s="41" t="s">
        <v>91</v>
      </c>
      <c r="H61" s="41" t="s">
        <v>84</v>
      </c>
      <c r="I61" s="41" t="s">
        <v>55</v>
      </c>
      <c r="J61" s="41">
        <v>1800</v>
      </c>
      <c r="K61" s="41" t="s">
        <v>156</v>
      </c>
      <c r="O61" s="41" t="s">
        <v>182</v>
      </c>
      <c r="P61" s="41">
        <v>9308996</v>
      </c>
      <c r="Q61" s="41" t="s">
        <v>87</v>
      </c>
      <c r="R61" s="41" t="s">
        <v>88</v>
      </c>
      <c r="S61" s="92" t="s">
        <v>87</v>
      </c>
      <c r="T61" s="41" t="s">
        <v>89</v>
      </c>
    </row>
    <row r="62" hidden="1" customHeight="1" spans="1:21">
      <c r="A62" s="83">
        <v>46207</v>
      </c>
      <c r="B62" s="41">
        <v>2823803</v>
      </c>
      <c r="C62" s="41" t="s">
        <v>43</v>
      </c>
      <c r="D62" s="41" t="s">
        <v>183</v>
      </c>
      <c r="E62" s="41">
        <v>19571079665</v>
      </c>
      <c r="F62" s="41" t="s">
        <v>111</v>
      </c>
      <c r="H62" s="41" t="s">
        <v>84</v>
      </c>
      <c r="I62" s="41" t="s">
        <v>55</v>
      </c>
      <c r="J62" s="41">
        <v>501</v>
      </c>
      <c r="K62" s="41" t="s">
        <v>118</v>
      </c>
      <c r="O62" s="41" t="s">
        <v>184</v>
      </c>
    </row>
    <row r="63" hidden="1" customHeight="1" spans="1:21">
      <c r="A63" s="83">
        <v>46207</v>
      </c>
      <c r="B63" s="41">
        <v>2460924</v>
      </c>
      <c r="C63" s="41" t="s">
        <v>43</v>
      </c>
      <c r="D63" s="41" t="s">
        <v>185</v>
      </c>
      <c r="E63" s="41">
        <v>15172511269</v>
      </c>
      <c r="F63" s="41" t="s">
        <v>83</v>
      </c>
      <c r="H63" s="41" t="s">
        <v>84</v>
      </c>
      <c r="I63" s="41" t="s">
        <v>55</v>
      </c>
      <c r="J63" s="41">
        <v>1500</v>
      </c>
      <c r="K63" s="41" t="s">
        <v>85</v>
      </c>
      <c r="O63" s="41" t="s">
        <v>186</v>
      </c>
      <c r="P63" s="41">
        <v>9308997</v>
      </c>
      <c r="Q63" s="41" t="s">
        <v>87</v>
      </c>
      <c r="R63" s="41" t="s">
        <v>88</v>
      </c>
      <c r="S63" s="41" t="s">
        <v>87</v>
      </c>
      <c r="T63" s="41" t="s">
        <v>89</v>
      </c>
    </row>
    <row r="64" hidden="1" customHeight="1" spans="1:21">
      <c r="A64" s="83">
        <v>46207</v>
      </c>
      <c r="B64" s="41">
        <v>24609258</v>
      </c>
      <c r="C64" s="41" t="s">
        <v>43</v>
      </c>
      <c r="D64" s="41" t="s">
        <v>187</v>
      </c>
      <c r="E64" s="41">
        <v>18971430567</v>
      </c>
      <c r="F64" s="41" t="s">
        <v>131</v>
      </c>
      <c r="H64" s="41" t="s">
        <v>84</v>
      </c>
      <c r="I64" s="41" t="s">
        <v>55</v>
      </c>
      <c r="J64" s="41">
        <v>299</v>
      </c>
      <c r="K64" s="41" t="s">
        <v>118</v>
      </c>
      <c r="O64" s="41" t="s">
        <v>131</v>
      </c>
      <c r="P64" s="41">
        <v>9122511</v>
      </c>
      <c r="Q64" s="41" t="s">
        <v>87</v>
      </c>
      <c r="R64" s="41" t="s">
        <v>88</v>
      </c>
      <c r="S64" s="41" t="s">
        <v>87</v>
      </c>
      <c r="T64" s="41" t="s">
        <v>89</v>
      </c>
    </row>
    <row r="65" hidden="1" customHeight="1" spans="1:21">
      <c r="A65" s="83">
        <v>46207</v>
      </c>
      <c r="B65" s="41">
        <v>2955213</v>
      </c>
      <c r="C65" s="41" t="s">
        <v>45</v>
      </c>
      <c r="D65" s="41" t="s">
        <v>188</v>
      </c>
      <c r="E65" s="41">
        <v>15527473896</v>
      </c>
      <c r="F65" s="41" t="s">
        <v>83</v>
      </c>
      <c r="H65" s="41" t="s">
        <v>84</v>
      </c>
      <c r="I65" s="41" t="s">
        <v>55</v>
      </c>
      <c r="J65" s="41">
        <v>1500</v>
      </c>
      <c r="K65" s="41" t="s">
        <v>105</v>
      </c>
      <c r="O65" s="41" t="s">
        <v>189</v>
      </c>
      <c r="P65" s="41">
        <v>9918607</v>
      </c>
      <c r="Q65" s="41" t="s">
        <v>87</v>
      </c>
      <c r="R65" s="41" t="s">
        <v>88</v>
      </c>
      <c r="S65" s="41" t="s">
        <v>87</v>
      </c>
      <c r="T65" s="41" t="s">
        <v>89</v>
      </c>
    </row>
    <row r="66" hidden="1" customHeight="1" spans="1:21">
      <c r="A66" s="83">
        <v>46207</v>
      </c>
      <c r="B66" s="41">
        <v>2823805</v>
      </c>
      <c r="C66" s="41" t="s">
        <v>45</v>
      </c>
      <c r="D66" s="41" t="s">
        <v>190</v>
      </c>
      <c r="E66" s="41">
        <v>13343468139</v>
      </c>
      <c r="F66" s="41" t="s">
        <v>91</v>
      </c>
      <c r="H66" s="41" t="s">
        <v>84</v>
      </c>
      <c r="I66" s="41" t="s">
        <v>55</v>
      </c>
      <c r="J66" s="41">
        <v>1000</v>
      </c>
      <c r="K66" s="41" t="s">
        <v>97</v>
      </c>
      <c r="O66" s="41" t="s">
        <v>119</v>
      </c>
      <c r="P66" s="41">
        <v>9310365</v>
      </c>
      <c r="Q66" s="41" t="s">
        <v>87</v>
      </c>
      <c r="R66" s="41" t="s">
        <v>88</v>
      </c>
      <c r="S66" s="41" t="s">
        <v>87</v>
      </c>
      <c r="T66" s="41" t="s">
        <v>89</v>
      </c>
    </row>
    <row r="67" ht="35" hidden="1" customHeight="1" spans="1:21">
      <c r="A67" s="88">
        <v>46208</v>
      </c>
      <c r="B67" s="89"/>
      <c r="C67" s="89" t="s">
        <v>50</v>
      </c>
      <c r="D67" s="89"/>
      <c r="E67" s="89"/>
      <c r="F67" s="89"/>
      <c r="G67" s="89"/>
      <c r="H67" s="89"/>
      <c r="I67" s="89"/>
      <c r="J67" s="89">
        <v>33</v>
      </c>
      <c r="K67" s="89" t="s">
        <v>191</v>
      </c>
      <c r="L67" s="89"/>
      <c r="M67" s="89"/>
      <c r="N67" s="89"/>
      <c r="O67" s="89"/>
      <c r="P67" s="89"/>
      <c r="Q67" s="89"/>
      <c r="R67" s="89"/>
      <c r="S67" s="89"/>
      <c r="T67" s="89"/>
      <c r="U67" s="89"/>
    </row>
    <row r="68" hidden="1" customHeight="1" spans="1:21">
      <c r="A68" s="88">
        <v>46208</v>
      </c>
      <c r="B68" s="89"/>
      <c r="C68" s="89" t="s">
        <v>48</v>
      </c>
      <c r="D68" s="89"/>
      <c r="E68" s="89"/>
      <c r="F68" s="89"/>
      <c r="G68" s="89"/>
      <c r="H68" s="89"/>
      <c r="I68" s="89"/>
      <c r="J68" s="89">
        <v>110</v>
      </c>
      <c r="K68" s="89" t="s">
        <v>191</v>
      </c>
      <c r="L68" s="89"/>
      <c r="M68" s="89"/>
      <c r="N68" s="89"/>
      <c r="O68" s="89"/>
      <c r="P68" s="89"/>
      <c r="Q68" s="89"/>
      <c r="R68" s="89"/>
      <c r="S68" s="89"/>
      <c r="T68" s="89"/>
      <c r="U68" s="89"/>
    </row>
    <row r="69" hidden="1" customHeight="1" spans="1:21">
      <c r="A69" s="88">
        <v>46208</v>
      </c>
      <c r="B69" s="89"/>
      <c r="C69" s="89" t="s">
        <v>52</v>
      </c>
      <c r="D69" s="89"/>
      <c r="E69" s="89"/>
      <c r="F69" s="89"/>
      <c r="G69" s="89"/>
      <c r="H69" s="89"/>
      <c r="I69" s="89"/>
      <c r="J69" s="89">
        <v>0</v>
      </c>
      <c r="K69" s="89" t="s">
        <v>191</v>
      </c>
      <c r="L69" s="89"/>
      <c r="M69" s="89"/>
      <c r="N69" s="89"/>
      <c r="O69" s="89"/>
      <c r="P69" s="89"/>
      <c r="Q69" s="89"/>
      <c r="R69" s="89"/>
      <c r="S69" s="89"/>
      <c r="T69" s="89"/>
      <c r="U69" s="89"/>
    </row>
    <row r="70" hidden="1" customHeight="1" spans="1:21">
      <c r="A70" s="88">
        <v>46208</v>
      </c>
      <c r="B70" s="89"/>
      <c r="C70" s="89" t="s">
        <v>53</v>
      </c>
      <c r="D70" s="89"/>
      <c r="E70" s="89"/>
      <c r="F70" s="89"/>
      <c r="G70" s="89"/>
      <c r="H70" s="89"/>
      <c r="I70" s="89"/>
      <c r="J70" s="89">
        <v>0</v>
      </c>
      <c r="K70" s="89" t="s">
        <v>191</v>
      </c>
      <c r="L70" s="89"/>
      <c r="M70" s="89"/>
      <c r="N70" s="89"/>
      <c r="O70" s="89"/>
      <c r="P70" s="89"/>
      <c r="Q70" s="89"/>
      <c r="R70" s="89"/>
      <c r="S70" s="89"/>
      <c r="T70" s="89"/>
      <c r="U70" s="89"/>
    </row>
    <row r="71" hidden="1" customHeight="1" spans="1:21">
      <c r="A71" s="88">
        <v>46208</v>
      </c>
      <c r="B71" s="89"/>
      <c r="C71" s="89" t="s">
        <v>47</v>
      </c>
      <c r="D71" s="89"/>
      <c r="E71" s="89"/>
      <c r="F71" s="89"/>
      <c r="G71" s="89"/>
      <c r="H71" s="89"/>
      <c r="I71" s="89"/>
      <c r="J71" s="89">
        <v>0</v>
      </c>
      <c r="K71" s="89" t="s">
        <v>191</v>
      </c>
      <c r="L71" s="89"/>
      <c r="M71" s="89"/>
      <c r="N71" s="89"/>
      <c r="O71" s="89"/>
      <c r="P71" s="89"/>
      <c r="Q71" s="89"/>
      <c r="R71" s="89"/>
      <c r="S71" s="89"/>
      <c r="T71" s="89"/>
      <c r="U71" s="89"/>
    </row>
    <row r="72" hidden="1" customHeight="1" spans="1:21">
      <c r="A72" s="83">
        <v>46208</v>
      </c>
      <c r="B72" s="41">
        <v>2823804</v>
      </c>
      <c r="C72" s="41" t="s">
        <v>43</v>
      </c>
      <c r="D72" s="41" t="s">
        <v>192</v>
      </c>
      <c r="E72" s="41">
        <v>19186945492</v>
      </c>
      <c r="F72" s="41" t="s">
        <v>125</v>
      </c>
      <c r="H72" s="41" t="s">
        <v>84</v>
      </c>
      <c r="I72" s="41" t="s">
        <v>55</v>
      </c>
      <c r="J72" s="41">
        <v>700</v>
      </c>
      <c r="K72" s="41" t="s">
        <v>85</v>
      </c>
      <c r="O72" s="41" t="s">
        <v>126</v>
      </c>
      <c r="P72" s="41">
        <v>9122635</v>
      </c>
      <c r="Q72" s="41" t="s">
        <v>87</v>
      </c>
      <c r="R72" s="41" t="s">
        <v>88</v>
      </c>
      <c r="S72" s="41" t="s">
        <v>87</v>
      </c>
      <c r="T72" s="41" t="s">
        <v>89</v>
      </c>
    </row>
    <row r="73" ht="29" hidden="1" customHeight="1" spans="1:21">
      <c r="A73" s="83">
        <v>46208</v>
      </c>
      <c r="B73" s="41">
        <v>2823808</v>
      </c>
      <c r="C73" s="41" t="s">
        <v>43</v>
      </c>
      <c r="D73" s="41" t="s">
        <v>193</v>
      </c>
      <c r="E73" s="41">
        <v>18886421407</v>
      </c>
      <c r="F73" s="41" t="s">
        <v>115</v>
      </c>
      <c r="H73" s="41" t="s">
        <v>137</v>
      </c>
      <c r="I73" s="41" t="s">
        <v>55</v>
      </c>
      <c r="J73" s="41">
        <v>200</v>
      </c>
      <c r="K73" s="41" t="s">
        <v>85</v>
      </c>
      <c r="O73" s="41" t="s">
        <v>194</v>
      </c>
    </row>
    <row r="74" hidden="1" customHeight="1" spans="1:21">
      <c r="A74" s="83">
        <v>46208</v>
      </c>
      <c r="B74" s="41">
        <v>2460926</v>
      </c>
      <c r="C74" s="41" t="s">
        <v>45</v>
      </c>
      <c r="D74" s="41" t="s">
        <v>195</v>
      </c>
      <c r="E74" s="41">
        <v>13797094687</v>
      </c>
      <c r="F74" s="41" t="s">
        <v>115</v>
      </c>
      <c r="H74" s="41" t="s">
        <v>84</v>
      </c>
      <c r="I74" s="41" t="s">
        <v>55</v>
      </c>
      <c r="J74" s="41">
        <v>1099</v>
      </c>
      <c r="K74" s="41" t="s">
        <v>167</v>
      </c>
      <c r="O74" s="41" t="s">
        <v>196</v>
      </c>
      <c r="P74" s="41">
        <v>9122512</v>
      </c>
      <c r="Q74" s="41" t="s">
        <v>87</v>
      </c>
      <c r="R74" s="41" t="s">
        <v>88</v>
      </c>
      <c r="S74" s="41" t="s">
        <v>87</v>
      </c>
      <c r="T74" s="41" t="s">
        <v>89</v>
      </c>
    </row>
    <row r="75" ht="28" hidden="1" customHeight="1" spans="1:21">
      <c r="A75" s="83">
        <v>46208</v>
      </c>
      <c r="B75" s="41">
        <v>2823806</v>
      </c>
      <c r="C75" s="41" t="s">
        <v>43</v>
      </c>
      <c r="D75" s="41" t="s">
        <v>197</v>
      </c>
      <c r="E75" s="41">
        <v>18327145709</v>
      </c>
      <c r="F75" s="41" t="s">
        <v>121</v>
      </c>
      <c r="H75" s="41" t="s">
        <v>84</v>
      </c>
      <c r="I75" s="41" t="s">
        <v>55</v>
      </c>
      <c r="J75" s="41">
        <v>499</v>
      </c>
      <c r="K75" s="41" t="s">
        <v>108</v>
      </c>
      <c r="O75" s="41" t="s">
        <v>122</v>
      </c>
      <c r="P75" s="41">
        <v>9122636</v>
      </c>
      <c r="Q75" s="41" t="s">
        <v>87</v>
      </c>
      <c r="R75" s="41" t="s">
        <v>88</v>
      </c>
      <c r="S75" s="41" t="s">
        <v>87</v>
      </c>
      <c r="T75" s="41" t="s">
        <v>89</v>
      </c>
    </row>
    <row r="76" ht="30" hidden="1" customHeight="1" spans="1:21">
      <c r="A76" s="83">
        <v>46208</v>
      </c>
      <c r="B76" s="41">
        <v>2823812</v>
      </c>
      <c r="C76" s="41" t="s">
        <v>44</v>
      </c>
      <c r="D76" s="41" t="s">
        <v>198</v>
      </c>
      <c r="E76" s="41">
        <v>15727256293</v>
      </c>
      <c r="F76" s="41" t="s">
        <v>199</v>
      </c>
      <c r="H76" s="41" t="s">
        <v>84</v>
      </c>
      <c r="I76" s="41" t="s">
        <v>56</v>
      </c>
      <c r="J76" s="41">
        <v>2800</v>
      </c>
      <c r="K76" s="44" t="s">
        <v>200</v>
      </c>
      <c r="O76" s="41" t="s">
        <v>201</v>
      </c>
      <c r="P76" s="41">
        <v>9205529</v>
      </c>
      <c r="Q76" s="41" t="s">
        <v>87</v>
      </c>
      <c r="R76" s="41" t="s">
        <v>88</v>
      </c>
      <c r="S76" s="90" t="s">
        <v>88</v>
      </c>
      <c r="T76" s="41" t="s">
        <v>89</v>
      </c>
    </row>
    <row r="77" hidden="1" customHeight="1" spans="1:21">
      <c r="A77" s="83">
        <v>46208</v>
      </c>
      <c r="B77" s="41">
        <v>2823807</v>
      </c>
      <c r="C77" s="41" t="s">
        <v>43</v>
      </c>
      <c r="D77" s="41" t="s">
        <v>202</v>
      </c>
      <c r="E77" s="41">
        <v>17320524069</v>
      </c>
      <c r="F77" s="41" t="s">
        <v>131</v>
      </c>
      <c r="H77" s="41" t="s">
        <v>84</v>
      </c>
      <c r="I77" s="41" t="s">
        <v>56</v>
      </c>
      <c r="J77" s="41">
        <v>400</v>
      </c>
      <c r="K77" s="41" t="s">
        <v>85</v>
      </c>
      <c r="O77" s="41" t="s">
        <v>203</v>
      </c>
      <c r="P77" s="41">
        <v>9122637</v>
      </c>
      <c r="Q77" s="41" t="s">
        <v>87</v>
      </c>
      <c r="R77" s="41" t="s">
        <v>88</v>
      </c>
      <c r="S77" s="93" t="s">
        <v>87</v>
      </c>
      <c r="T77" s="41" t="s">
        <v>89</v>
      </c>
    </row>
    <row r="78" hidden="1" customHeight="1" spans="1:21">
      <c r="A78" s="83">
        <v>46208</v>
      </c>
      <c r="B78" s="41">
        <v>2823809</v>
      </c>
      <c r="C78" s="41" t="s">
        <v>43</v>
      </c>
      <c r="D78" s="41" t="s">
        <v>204</v>
      </c>
      <c r="E78" s="41">
        <v>13347571417</v>
      </c>
      <c r="F78" s="41" t="s">
        <v>131</v>
      </c>
      <c r="H78" s="41" t="s">
        <v>137</v>
      </c>
      <c r="I78" s="41" t="s">
        <v>55</v>
      </c>
      <c r="J78" s="41">
        <v>100</v>
      </c>
      <c r="K78" s="41" t="s">
        <v>118</v>
      </c>
      <c r="O78" s="41" t="s">
        <v>137</v>
      </c>
    </row>
    <row r="79" ht="30" hidden="1" customHeight="1" spans="1:21">
      <c r="A79" s="83">
        <v>46208</v>
      </c>
      <c r="B79" s="41">
        <v>2923789</v>
      </c>
      <c r="C79" s="41" t="s">
        <v>45</v>
      </c>
      <c r="D79" s="41" t="s">
        <v>205</v>
      </c>
      <c r="E79" s="41">
        <v>15271802910</v>
      </c>
      <c r="F79" s="41" t="s">
        <v>83</v>
      </c>
      <c r="H79" s="41" t="s">
        <v>84</v>
      </c>
      <c r="I79" s="41" t="s">
        <v>55</v>
      </c>
      <c r="J79" s="41">
        <v>1500</v>
      </c>
      <c r="K79" s="41" t="s">
        <v>85</v>
      </c>
      <c r="O79" s="41" t="s">
        <v>206</v>
      </c>
      <c r="P79" s="41">
        <v>9309297</v>
      </c>
      <c r="Q79" s="41" t="s">
        <v>87</v>
      </c>
      <c r="R79" s="41" t="s">
        <v>88</v>
      </c>
      <c r="S79" s="93" t="s">
        <v>87</v>
      </c>
      <c r="T79" s="41" t="s">
        <v>89</v>
      </c>
    </row>
    <row r="80" hidden="1" customHeight="1" spans="1:21">
      <c r="A80" s="83">
        <v>46208</v>
      </c>
      <c r="B80" s="41">
        <v>2823810</v>
      </c>
      <c r="C80" s="41" t="s">
        <v>43</v>
      </c>
      <c r="D80" s="41" t="s">
        <v>207</v>
      </c>
      <c r="E80" s="41">
        <v>13871515692</v>
      </c>
      <c r="F80" s="41" t="s">
        <v>115</v>
      </c>
      <c r="H80" s="41" t="s">
        <v>84</v>
      </c>
      <c r="I80" s="41" t="s">
        <v>56</v>
      </c>
      <c r="J80" s="41">
        <v>1200</v>
      </c>
      <c r="K80" s="41" t="s">
        <v>85</v>
      </c>
      <c r="O80" s="41" t="s">
        <v>208</v>
      </c>
      <c r="P80" s="41">
        <v>9122638</v>
      </c>
      <c r="Q80" s="41" t="s">
        <v>87</v>
      </c>
      <c r="R80" s="41" t="s">
        <v>88</v>
      </c>
      <c r="S80" s="93" t="s">
        <v>87</v>
      </c>
      <c r="T80" s="41" t="s">
        <v>89</v>
      </c>
    </row>
    <row r="81" hidden="1" customHeight="1" spans="1:21">
      <c r="A81" s="83">
        <v>46208</v>
      </c>
      <c r="B81" s="41">
        <v>2955216</v>
      </c>
      <c r="C81" s="41" t="s">
        <v>43</v>
      </c>
      <c r="D81" s="41" t="s">
        <v>209</v>
      </c>
      <c r="E81" s="41">
        <v>17794324477</v>
      </c>
      <c r="F81" s="41" t="s">
        <v>121</v>
      </c>
      <c r="H81" s="90" t="s">
        <v>153</v>
      </c>
      <c r="J81" s="41">
        <v>499</v>
      </c>
      <c r="K81" s="41" t="s">
        <v>118</v>
      </c>
      <c r="O81" s="91" t="s">
        <v>210</v>
      </c>
      <c r="P81" s="41">
        <v>9122513</v>
      </c>
      <c r="Q81" s="41" t="s">
        <v>87</v>
      </c>
      <c r="R81" s="41" t="s">
        <v>88</v>
      </c>
      <c r="S81" s="93" t="s">
        <v>87</v>
      </c>
      <c r="T81" s="41" t="s">
        <v>89</v>
      </c>
    </row>
    <row r="82" hidden="1" customHeight="1" spans="1:21">
      <c r="A82" s="83">
        <v>46208</v>
      </c>
      <c r="B82" s="41">
        <v>2460927</v>
      </c>
      <c r="C82" s="41" t="s">
        <v>45</v>
      </c>
      <c r="D82" s="41" t="s">
        <v>211</v>
      </c>
      <c r="E82" s="41">
        <v>15914167306</v>
      </c>
      <c r="F82" s="41" t="s">
        <v>83</v>
      </c>
      <c r="H82" s="41" t="s">
        <v>84</v>
      </c>
      <c r="I82" s="41" t="s">
        <v>55</v>
      </c>
      <c r="J82" s="41">
        <v>1500</v>
      </c>
      <c r="K82" s="41" t="s">
        <v>118</v>
      </c>
      <c r="O82" s="41" t="s">
        <v>212</v>
      </c>
      <c r="P82" s="41">
        <v>9309292</v>
      </c>
      <c r="Q82" s="41" t="s">
        <v>87</v>
      </c>
      <c r="R82" s="41" t="s">
        <v>88</v>
      </c>
      <c r="S82" s="93" t="s">
        <v>87</v>
      </c>
      <c r="T82" s="41" t="s">
        <v>89</v>
      </c>
    </row>
    <row r="83" ht="48" hidden="1" customHeight="1" spans="1:21">
      <c r="A83" s="83">
        <v>46208</v>
      </c>
      <c r="B83" s="41">
        <v>2923786</v>
      </c>
      <c r="C83" s="41" t="s">
        <v>45</v>
      </c>
      <c r="D83" s="44" t="s">
        <v>213</v>
      </c>
      <c r="E83" s="41">
        <v>17771882869</v>
      </c>
      <c r="F83" s="41" t="s">
        <v>214</v>
      </c>
      <c r="H83" s="41" t="s">
        <v>84</v>
      </c>
      <c r="I83" s="41" t="s">
        <v>55</v>
      </c>
      <c r="J83" s="41">
        <v>2700</v>
      </c>
      <c r="K83" s="41" t="s">
        <v>85</v>
      </c>
      <c r="O83" s="41" t="s">
        <v>215</v>
      </c>
      <c r="P83" s="41">
        <v>9309293</v>
      </c>
      <c r="Q83" s="41" t="s">
        <v>87</v>
      </c>
      <c r="R83" s="41" t="s">
        <v>88</v>
      </c>
      <c r="S83" s="93" t="s">
        <v>87</v>
      </c>
      <c r="T83" s="41" t="s">
        <v>89</v>
      </c>
    </row>
    <row r="84" hidden="1" customHeight="1" spans="1:21">
      <c r="A84" s="83">
        <v>46208</v>
      </c>
      <c r="B84" s="41">
        <v>2823811</v>
      </c>
      <c r="C84" s="41" t="s">
        <v>43</v>
      </c>
      <c r="D84" s="41" t="s">
        <v>216</v>
      </c>
      <c r="E84" s="41">
        <v>13778656137</v>
      </c>
      <c r="F84" s="41" t="s">
        <v>131</v>
      </c>
      <c r="H84" s="41" t="s">
        <v>84</v>
      </c>
      <c r="I84" s="41" t="s">
        <v>55</v>
      </c>
      <c r="J84" s="41">
        <v>199</v>
      </c>
      <c r="K84" s="41" t="s">
        <v>217</v>
      </c>
      <c r="O84" s="41" t="s">
        <v>131</v>
      </c>
      <c r="P84" s="41">
        <v>9122639</v>
      </c>
      <c r="Q84" s="41" t="s">
        <v>87</v>
      </c>
      <c r="R84" s="41" t="s">
        <v>88</v>
      </c>
      <c r="S84" s="93" t="s">
        <v>87</v>
      </c>
      <c r="T84" s="41" t="s">
        <v>89</v>
      </c>
    </row>
    <row r="85" ht="30" hidden="1" customHeight="1" spans="1:21">
      <c r="A85" s="83">
        <v>46208</v>
      </c>
      <c r="B85" s="41">
        <v>2923787</v>
      </c>
      <c r="C85" s="41" t="s">
        <v>45</v>
      </c>
      <c r="D85" s="44" t="s">
        <v>218</v>
      </c>
      <c r="E85" s="44" t="s">
        <v>219</v>
      </c>
      <c r="F85" s="41" t="s">
        <v>91</v>
      </c>
      <c r="H85" s="41" t="s">
        <v>84</v>
      </c>
      <c r="I85" s="41" t="s">
        <v>55</v>
      </c>
      <c r="J85" s="41">
        <v>1000</v>
      </c>
      <c r="K85" s="41" t="s">
        <v>220</v>
      </c>
      <c r="O85" s="41" t="s">
        <v>221</v>
      </c>
      <c r="P85" s="41">
        <v>9309294</v>
      </c>
      <c r="Q85" s="41" t="s">
        <v>87</v>
      </c>
      <c r="R85" s="41" t="s">
        <v>88</v>
      </c>
      <c r="S85" s="93" t="s">
        <v>87</v>
      </c>
      <c r="T85" s="41" t="s">
        <v>89</v>
      </c>
    </row>
    <row r="86" ht="29" hidden="1" customHeight="1" spans="1:21">
      <c r="A86" s="83">
        <v>46208</v>
      </c>
      <c r="B86" s="41">
        <v>2460929</v>
      </c>
      <c r="C86" s="41" t="s">
        <v>43</v>
      </c>
      <c r="D86" s="41" t="s">
        <v>222</v>
      </c>
      <c r="E86" s="41">
        <v>13429893889</v>
      </c>
      <c r="F86" s="41" t="s">
        <v>115</v>
      </c>
      <c r="H86" s="41" t="s">
        <v>84</v>
      </c>
      <c r="I86" s="41" t="s">
        <v>55</v>
      </c>
      <c r="J86" s="41">
        <v>2026</v>
      </c>
      <c r="K86" s="41" t="s">
        <v>167</v>
      </c>
      <c r="O86" s="41" t="s">
        <v>223</v>
      </c>
      <c r="P86" s="41">
        <v>9309295</v>
      </c>
      <c r="Q86" s="41" t="s">
        <v>87</v>
      </c>
      <c r="R86" s="41" t="s">
        <v>88</v>
      </c>
      <c r="S86" s="93" t="s">
        <v>87</v>
      </c>
      <c r="T86" s="41" t="s">
        <v>89</v>
      </c>
    </row>
    <row r="87" ht="31" hidden="1" customHeight="1" spans="1:21">
      <c r="A87" s="83">
        <v>46208</v>
      </c>
      <c r="B87" s="41">
        <v>2923788</v>
      </c>
      <c r="C87" s="41" t="s">
        <v>43</v>
      </c>
      <c r="D87" s="44" t="s">
        <v>224</v>
      </c>
      <c r="E87" s="41">
        <v>15102732868</v>
      </c>
      <c r="F87" s="41" t="s">
        <v>91</v>
      </c>
      <c r="H87" s="41" t="s">
        <v>84</v>
      </c>
      <c r="I87" s="41" t="s">
        <v>55</v>
      </c>
      <c r="J87" s="41">
        <v>1900</v>
      </c>
      <c r="K87" s="41" t="s">
        <v>85</v>
      </c>
      <c r="O87" s="44" t="s">
        <v>225</v>
      </c>
      <c r="P87" s="41">
        <v>9309296</v>
      </c>
      <c r="Q87" s="41" t="s">
        <v>87</v>
      </c>
      <c r="R87" s="41" t="s">
        <v>88</v>
      </c>
      <c r="S87" s="93" t="s">
        <v>87</v>
      </c>
      <c r="T87" s="41" t="s">
        <v>89</v>
      </c>
    </row>
    <row r="88" ht="32" hidden="1" customHeight="1" spans="1:21">
      <c r="A88" s="83">
        <v>46208</v>
      </c>
      <c r="B88" s="41">
        <v>2923794</v>
      </c>
      <c r="C88" s="41" t="s">
        <v>45</v>
      </c>
      <c r="D88" s="41" t="s">
        <v>226</v>
      </c>
      <c r="E88" s="41">
        <v>1862812267</v>
      </c>
      <c r="F88" s="41" t="s">
        <v>91</v>
      </c>
      <c r="H88" s="41" t="s">
        <v>227</v>
      </c>
      <c r="I88" s="41" t="s">
        <v>55</v>
      </c>
      <c r="J88" s="41">
        <v>500</v>
      </c>
      <c r="K88" s="41" t="s">
        <v>94</v>
      </c>
    </row>
    <row r="89" hidden="1" customHeight="1" spans="1:21">
      <c r="A89" s="83">
        <v>46208</v>
      </c>
      <c r="B89" s="41">
        <v>2823817</v>
      </c>
      <c r="C89" s="41" t="s">
        <v>43</v>
      </c>
      <c r="D89" s="41" t="s">
        <v>228</v>
      </c>
      <c r="E89" s="41">
        <v>13396054132</v>
      </c>
      <c r="F89" s="41" t="s">
        <v>83</v>
      </c>
      <c r="H89" s="41" t="s">
        <v>84</v>
      </c>
      <c r="I89" s="41" t="s">
        <v>55</v>
      </c>
      <c r="J89" s="41">
        <v>1000</v>
      </c>
      <c r="K89" s="41" t="s">
        <v>97</v>
      </c>
      <c r="O89" s="41" t="s">
        <v>229</v>
      </c>
    </row>
    <row r="90" hidden="1" customHeight="1" spans="1:21">
      <c r="A90" s="88">
        <v>46209</v>
      </c>
      <c r="B90" s="89"/>
      <c r="C90" s="89" t="s">
        <v>50</v>
      </c>
      <c r="D90" s="89"/>
      <c r="E90" s="89"/>
      <c r="F90" s="89"/>
      <c r="G90" s="89"/>
      <c r="H90" s="89"/>
      <c r="I90" s="89"/>
      <c r="J90" s="89">
        <v>31</v>
      </c>
      <c r="K90" s="89" t="s">
        <v>230</v>
      </c>
      <c r="L90" s="89"/>
      <c r="M90" s="89"/>
      <c r="N90" s="89"/>
      <c r="O90" s="89"/>
      <c r="P90" s="89"/>
      <c r="Q90" s="89"/>
      <c r="R90" s="89"/>
      <c r="S90" s="89"/>
      <c r="T90" s="89"/>
      <c r="U90" s="89"/>
    </row>
    <row r="91" ht="32" hidden="1" customHeight="1" spans="1:21">
      <c r="A91" s="88">
        <v>46209</v>
      </c>
      <c r="B91" s="89"/>
      <c r="C91" s="89" t="s">
        <v>48</v>
      </c>
      <c r="D91" s="89"/>
      <c r="E91" s="89"/>
      <c r="F91" s="89"/>
      <c r="G91" s="89"/>
      <c r="H91" s="89"/>
      <c r="I91" s="89"/>
      <c r="J91" s="89">
        <v>85</v>
      </c>
      <c r="K91" s="89" t="s">
        <v>230</v>
      </c>
      <c r="L91" s="89"/>
      <c r="M91" s="89"/>
      <c r="N91" s="89"/>
      <c r="O91" s="89"/>
      <c r="P91" s="89"/>
      <c r="Q91" s="89"/>
      <c r="R91" s="89"/>
      <c r="S91" s="89"/>
      <c r="T91" s="89"/>
      <c r="U91" s="89"/>
    </row>
    <row r="92" ht="32" hidden="1" customHeight="1" spans="1:21">
      <c r="A92" s="88">
        <v>46209</v>
      </c>
      <c r="B92" s="89"/>
      <c r="C92" s="89" t="s">
        <v>52</v>
      </c>
      <c r="D92" s="89"/>
      <c r="E92" s="89"/>
      <c r="F92" s="89"/>
      <c r="G92" s="89"/>
      <c r="H92" s="89"/>
      <c r="I92" s="89"/>
      <c r="J92" s="89">
        <v>0</v>
      </c>
      <c r="K92" s="89" t="s">
        <v>230</v>
      </c>
      <c r="L92" s="89"/>
      <c r="M92" s="89"/>
      <c r="N92" s="89"/>
      <c r="O92" s="89"/>
      <c r="P92" s="89"/>
      <c r="Q92" s="89"/>
      <c r="R92" s="89"/>
      <c r="S92" s="89"/>
      <c r="T92" s="89"/>
      <c r="U92" s="89"/>
    </row>
    <row r="93" hidden="1" customHeight="1" spans="1:21">
      <c r="A93" s="88">
        <v>46209</v>
      </c>
      <c r="B93" s="89"/>
      <c r="C93" s="89" t="s">
        <v>53</v>
      </c>
      <c r="D93" s="89"/>
      <c r="E93" s="89"/>
      <c r="F93" s="89"/>
      <c r="G93" s="89"/>
      <c r="H93" s="89"/>
      <c r="I93" s="89"/>
      <c r="J93" s="89">
        <v>0</v>
      </c>
      <c r="K93" s="89" t="s">
        <v>230</v>
      </c>
      <c r="L93" s="89"/>
      <c r="M93" s="89"/>
      <c r="N93" s="89"/>
      <c r="O93" s="89"/>
      <c r="P93" s="89"/>
      <c r="Q93" s="89"/>
      <c r="R93" s="89"/>
      <c r="S93" s="89"/>
      <c r="T93" s="89"/>
      <c r="U93" s="89"/>
    </row>
    <row r="94" hidden="1" customHeight="1" spans="1:21">
      <c r="A94" s="88">
        <v>46209</v>
      </c>
      <c r="B94" s="89"/>
      <c r="C94" s="89" t="s">
        <v>47</v>
      </c>
      <c r="D94" s="89"/>
      <c r="E94" s="89"/>
      <c r="F94" s="89"/>
      <c r="G94" s="89"/>
      <c r="H94" s="89"/>
      <c r="I94" s="89"/>
      <c r="J94" s="89">
        <v>0</v>
      </c>
      <c r="K94" s="89" t="s">
        <v>230</v>
      </c>
      <c r="L94" s="89"/>
      <c r="M94" s="89"/>
      <c r="N94" s="89"/>
      <c r="O94" s="89"/>
      <c r="P94" s="89"/>
      <c r="Q94" s="89"/>
      <c r="R94" s="89"/>
      <c r="S94" s="89"/>
      <c r="T94" s="89"/>
      <c r="U94" s="89"/>
    </row>
    <row r="95" hidden="1" customHeight="1" spans="1:21">
      <c r="A95" s="94">
        <v>46209</v>
      </c>
      <c r="B95" s="41">
        <v>2823816</v>
      </c>
      <c r="C95" s="41" t="s">
        <v>45</v>
      </c>
      <c r="D95" s="41" t="s">
        <v>231</v>
      </c>
      <c r="E95" s="41">
        <v>18164110667</v>
      </c>
      <c r="F95" s="41" t="s">
        <v>91</v>
      </c>
      <c r="G95" s="41">
        <v>10</v>
      </c>
      <c r="H95" s="41" t="s">
        <v>84</v>
      </c>
      <c r="I95" s="41" t="s">
        <v>55</v>
      </c>
      <c r="J95" s="41">
        <v>1000</v>
      </c>
      <c r="K95" s="41" t="s">
        <v>97</v>
      </c>
      <c r="O95" s="41" t="s">
        <v>101</v>
      </c>
      <c r="P95" s="41">
        <v>9310367</v>
      </c>
      <c r="Q95" s="41" t="s">
        <v>87</v>
      </c>
      <c r="R95" s="41" t="s">
        <v>88</v>
      </c>
      <c r="S95" s="93" t="s">
        <v>87</v>
      </c>
      <c r="T95" s="41" t="s">
        <v>89</v>
      </c>
    </row>
    <row r="96" ht="29" hidden="1" customHeight="1" spans="1:21">
      <c r="A96" s="94">
        <v>46209</v>
      </c>
      <c r="B96" s="41">
        <v>2823815</v>
      </c>
      <c r="C96" s="41" t="s">
        <v>45</v>
      </c>
      <c r="D96" s="41" t="s">
        <v>232</v>
      </c>
      <c r="E96" s="41">
        <v>15207129562</v>
      </c>
      <c r="F96" s="41" t="s">
        <v>91</v>
      </c>
      <c r="G96" s="41">
        <v>10</v>
      </c>
      <c r="H96" s="41" t="s">
        <v>84</v>
      </c>
      <c r="I96" s="41" t="s">
        <v>55</v>
      </c>
      <c r="J96" s="41">
        <v>1000</v>
      </c>
      <c r="K96" s="41" t="s">
        <v>97</v>
      </c>
      <c r="O96" s="41" t="s">
        <v>101</v>
      </c>
      <c r="P96" s="41">
        <v>9310366</v>
      </c>
      <c r="Q96" s="41" t="s">
        <v>87</v>
      </c>
      <c r="R96" s="41" t="s">
        <v>88</v>
      </c>
      <c r="S96" s="93" t="s">
        <v>87</v>
      </c>
      <c r="T96" s="41" t="s">
        <v>89</v>
      </c>
    </row>
    <row r="97" hidden="1" customHeight="1" spans="1:21">
      <c r="A97" s="94">
        <v>46209</v>
      </c>
      <c r="B97" s="41">
        <v>2460930</v>
      </c>
      <c r="C97" s="41" t="s">
        <v>45</v>
      </c>
      <c r="D97" s="41" t="s">
        <v>233</v>
      </c>
      <c r="E97" s="41">
        <v>13554478580</v>
      </c>
      <c r="F97" s="41" t="s">
        <v>96</v>
      </c>
      <c r="H97" s="41" t="s">
        <v>84</v>
      </c>
      <c r="I97" s="41" t="s">
        <v>55</v>
      </c>
      <c r="J97" s="41">
        <v>1000</v>
      </c>
      <c r="K97" s="41" t="s">
        <v>85</v>
      </c>
      <c r="O97" s="41" t="s">
        <v>234</v>
      </c>
      <c r="P97" s="41">
        <v>9122514</v>
      </c>
      <c r="Q97" s="41" t="s">
        <v>87</v>
      </c>
      <c r="R97" s="41" t="s">
        <v>88</v>
      </c>
      <c r="S97" s="93" t="s">
        <v>87</v>
      </c>
      <c r="T97" s="41" t="s">
        <v>89</v>
      </c>
    </row>
    <row r="98" ht="32" hidden="1" customHeight="1" spans="1:21">
      <c r="A98" s="94">
        <v>46209</v>
      </c>
      <c r="B98" s="41">
        <v>2923790</v>
      </c>
      <c r="C98" s="41" t="s">
        <v>43</v>
      </c>
      <c r="D98" s="41" t="s">
        <v>235</v>
      </c>
      <c r="E98" s="44">
        <v>15071057204</v>
      </c>
      <c r="F98" s="41" t="s">
        <v>131</v>
      </c>
      <c r="H98" s="41" t="s">
        <v>84</v>
      </c>
      <c r="I98" s="41" t="s">
        <v>55</v>
      </c>
      <c r="J98" s="41">
        <v>400</v>
      </c>
      <c r="K98" s="41" t="s">
        <v>85</v>
      </c>
      <c r="O98" s="41" t="s">
        <v>236</v>
      </c>
      <c r="P98" s="41">
        <v>9122515</v>
      </c>
      <c r="Q98" s="41" t="s">
        <v>87</v>
      </c>
      <c r="R98" s="41" t="s">
        <v>88</v>
      </c>
      <c r="S98" s="93" t="s">
        <v>87</v>
      </c>
      <c r="T98" s="41" t="s">
        <v>89</v>
      </c>
    </row>
    <row r="99" hidden="1" customHeight="1" spans="1:21">
      <c r="A99" s="94">
        <v>46209</v>
      </c>
      <c r="C99" s="41" t="s">
        <v>45</v>
      </c>
      <c r="H99" s="41" t="s">
        <v>84</v>
      </c>
      <c r="I99" s="41" t="s">
        <v>55</v>
      </c>
      <c r="J99" s="41">
        <v>1000</v>
      </c>
      <c r="K99" s="41" t="s">
        <v>94</v>
      </c>
    </row>
    <row r="100" hidden="1" customHeight="1" spans="1:21">
      <c r="A100" s="94">
        <v>46209</v>
      </c>
      <c r="B100" s="41">
        <v>2923795</v>
      </c>
      <c r="C100" s="41" t="s">
        <v>45</v>
      </c>
      <c r="D100" s="41" t="s">
        <v>237</v>
      </c>
      <c r="E100" s="41">
        <v>158272882</v>
      </c>
      <c r="F100" s="41" t="s">
        <v>238</v>
      </c>
      <c r="G100" s="41">
        <v>25</v>
      </c>
      <c r="H100" s="41" t="s">
        <v>84</v>
      </c>
      <c r="I100" s="41" t="s">
        <v>55</v>
      </c>
      <c r="J100" s="41">
        <v>2999</v>
      </c>
      <c r="K100" s="41" t="s">
        <v>94</v>
      </c>
      <c r="O100" s="41" t="s">
        <v>239</v>
      </c>
      <c r="P100" s="41">
        <v>9309299</v>
      </c>
      <c r="Q100" s="41" t="s">
        <v>87</v>
      </c>
      <c r="R100" s="41" t="s">
        <v>88</v>
      </c>
      <c r="S100" s="93" t="s">
        <v>87</v>
      </c>
      <c r="T100" s="41" t="s">
        <v>89</v>
      </c>
    </row>
    <row r="101" ht="30" hidden="1" customHeight="1" spans="1:21">
      <c r="A101" s="94">
        <v>46209</v>
      </c>
      <c r="B101" s="41">
        <v>2923791</v>
      </c>
      <c r="C101" s="41" t="s">
        <v>43</v>
      </c>
      <c r="D101" s="41" t="s">
        <v>240</v>
      </c>
      <c r="E101" s="41">
        <v>15327338967</v>
      </c>
      <c r="F101" s="41" t="s">
        <v>96</v>
      </c>
      <c r="H101" s="41" t="s">
        <v>84</v>
      </c>
      <c r="I101" s="41" t="s">
        <v>55</v>
      </c>
      <c r="J101" s="41">
        <v>1000</v>
      </c>
      <c r="K101" s="41" t="s">
        <v>85</v>
      </c>
      <c r="O101" s="41" t="s">
        <v>241</v>
      </c>
      <c r="P101" s="41">
        <v>9122516</v>
      </c>
      <c r="Q101" s="41" t="s">
        <v>87</v>
      </c>
      <c r="R101" s="41" t="s">
        <v>88</v>
      </c>
      <c r="S101" s="93" t="s">
        <v>87</v>
      </c>
      <c r="T101" s="41" t="s">
        <v>89</v>
      </c>
    </row>
    <row r="102" hidden="1" customHeight="1" spans="1:21">
      <c r="A102" s="94">
        <v>46209</v>
      </c>
      <c r="B102" s="41">
        <v>2823813</v>
      </c>
      <c r="C102" s="41" t="s">
        <v>43</v>
      </c>
      <c r="D102" s="41" t="s">
        <v>242</v>
      </c>
      <c r="E102" s="41">
        <v>13296666625</v>
      </c>
      <c r="F102" s="41" t="s">
        <v>140</v>
      </c>
      <c r="H102" s="41" t="s">
        <v>84</v>
      </c>
      <c r="I102" s="41" t="s">
        <v>55</v>
      </c>
      <c r="J102" s="41">
        <v>1500</v>
      </c>
      <c r="K102" s="41" t="s">
        <v>97</v>
      </c>
      <c r="O102" s="41" t="s">
        <v>243</v>
      </c>
      <c r="P102" s="41">
        <v>9122571</v>
      </c>
      <c r="Q102" s="41" t="s">
        <v>87</v>
      </c>
      <c r="R102" s="41" t="s">
        <v>88</v>
      </c>
      <c r="S102" s="93" t="s">
        <v>87</v>
      </c>
      <c r="T102" s="41" t="s">
        <v>89</v>
      </c>
    </row>
    <row r="103" ht="34" hidden="1" customHeight="1" spans="1:21">
      <c r="A103" s="94">
        <v>46209</v>
      </c>
      <c r="B103" s="41">
        <v>2923793</v>
      </c>
      <c r="C103" s="41" t="s">
        <v>43</v>
      </c>
      <c r="D103" s="44" t="s">
        <v>244</v>
      </c>
      <c r="E103" s="41">
        <v>13886181711</v>
      </c>
      <c r="F103" s="41" t="s">
        <v>214</v>
      </c>
      <c r="G103" s="41">
        <v>10</v>
      </c>
      <c r="H103" s="41" t="s">
        <v>84</v>
      </c>
      <c r="I103" s="41" t="s">
        <v>55</v>
      </c>
      <c r="J103" s="41">
        <v>2700</v>
      </c>
      <c r="K103" s="41" t="s">
        <v>85</v>
      </c>
      <c r="O103" s="41" t="s">
        <v>215</v>
      </c>
      <c r="P103" s="41">
        <v>9309298</v>
      </c>
      <c r="Q103" s="41" t="s">
        <v>87</v>
      </c>
      <c r="R103" s="41" t="s">
        <v>88</v>
      </c>
      <c r="S103" s="93" t="s">
        <v>87</v>
      </c>
      <c r="T103" s="41" t="s">
        <v>89</v>
      </c>
    </row>
    <row r="104" ht="57" hidden="1" customHeight="1" spans="1:21">
      <c r="A104" s="94">
        <v>46209</v>
      </c>
      <c r="B104" s="41">
        <v>2923792</v>
      </c>
      <c r="C104" s="41" t="s">
        <v>43</v>
      </c>
      <c r="D104" s="44" t="s">
        <v>245</v>
      </c>
      <c r="E104" s="44" t="s">
        <v>246</v>
      </c>
      <c r="H104" s="41" t="s">
        <v>84</v>
      </c>
      <c r="I104" s="41" t="s">
        <v>55</v>
      </c>
      <c r="J104" s="41">
        <v>2150</v>
      </c>
      <c r="K104" s="41" t="s">
        <v>118</v>
      </c>
      <c r="O104" s="41" t="s">
        <v>122</v>
      </c>
      <c r="P104" s="41">
        <v>9122517</v>
      </c>
      <c r="Q104" s="41" t="s">
        <v>87</v>
      </c>
      <c r="R104" s="41" t="s">
        <v>88</v>
      </c>
      <c r="S104" s="93" t="s">
        <v>87</v>
      </c>
      <c r="T104" s="41" t="s">
        <v>89</v>
      </c>
    </row>
    <row r="105" ht="29" hidden="1" customHeight="1" spans="1:21">
      <c r="A105" s="94">
        <v>46209</v>
      </c>
      <c r="B105" s="41">
        <v>2823814</v>
      </c>
      <c r="C105" s="41" t="s">
        <v>44</v>
      </c>
      <c r="D105" s="41" t="s">
        <v>247</v>
      </c>
      <c r="E105" s="41">
        <v>17737986723</v>
      </c>
      <c r="F105" s="41" t="s">
        <v>150</v>
      </c>
      <c r="H105" s="41" t="s">
        <v>84</v>
      </c>
      <c r="I105" s="41" t="s">
        <v>56</v>
      </c>
      <c r="J105" s="41">
        <v>520</v>
      </c>
      <c r="K105" s="41" t="s">
        <v>171</v>
      </c>
      <c r="O105" s="41" t="s">
        <v>248</v>
      </c>
      <c r="P105" s="41">
        <v>9205530</v>
      </c>
      <c r="Q105" s="41" t="s">
        <v>87</v>
      </c>
      <c r="R105" s="41" t="s">
        <v>88</v>
      </c>
      <c r="S105" s="93" t="s">
        <v>87</v>
      </c>
      <c r="T105" s="41" t="s">
        <v>89</v>
      </c>
    </row>
    <row r="106" ht="26" hidden="1" customHeight="1" spans="1:21">
      <c r="A106" s="94">
        <v>46209</v>
      </c>
      <c r="B106" s="41">
        <v>2460932</v>
      </c>
      <c r="C106" s="41" t="s">
        <v>43</v>
      </c>
      <c r="D106" s="41" t="s">
        <v>249</v>
      </c>
      <c r="E106" s="41">
        <v>18250179368</v>
      </c>
      <c r="F106" s="41" t="s">
        <v>92</v>
      </c>
      <c r="J106" s="41">
        <v>100</v>
      </c>
      <c r="K106" s="41" t="s">
        <v>85</v>
      </c>
    </row>
    <row r="107" ht="26" hidden="1" customHeight="1" spans="1:21">
      <c r="A107" s="94">
        <v>46209</v>
      </c>
      <c r="C107" s="41" t="s">
        <v>43</v>
      </c>
      <c r="J107" s="41">
        <v>49.9</v>
      </c>
      <c r="K107" s="41" t="s">
        <v>118</v>
      </c>
    </row>
    <row r="108" hidden="1" customHeight="1" spans="1:21">
      <c r="A108" s="94">
        <v>46209</v>
      </c>
      <c r="C108" s="41" t="s">
        <v>44</v>
      </c>
      <c r="D108" s="41" t="s">
        <v>250</v>
      </c>
      <c r="E108" s="41">
        <v>15071247855</v>
      </c>
      <c r="F108" s="41" t="s">
        <v>150</v>
      </c>
      <c r="H108" s="41" t="s">
        <v>84</v>
      </c>
      <c r="I108" s="41" t="s">
        <v>55</v>
      </c>
      <c r="J108" s="41">
        <v>1200</v>
      </c>
      <c r="K108" s="41" t="s">
        <v>251</v>
      </c>
      <c r="O108" s="41" t="s">
        <v>252</v>
      </c>
      <c r="Q108" s="41" t="s">
        <v>87</v>
      </c>
      <c r="R108" s="41" t="s">
        <v>88</v>
      </c>
      <c r="S108" s="93" t="s">
        <v>87</v>
      </c>
      <c r="T108" s="41" t="s">
        <v>89</v>
      </c>
    </row>
    <row r="109" hidden="1" customHeight="1" spans="1:21">
      <c r="A109" s="88">
        <v>46210</v>
      </c>
      <c r="B109" s="89"/>
      <c r="C109" s="89" t="s">
        <v>50</v>
      </c>
      <c r="D109" s="89"/>
      <c r="E109" s="89"/>
      <c r="F109" s="89"/>
      <c r="G109" s="89"/>
      <c r="H109" s="89"/>
      <c r="I109" s="89"/>
      <c r="J109" s="89">
        <v>22</v>
      </c>
      <c r="K109" s="89" t="s">
        <v>230</v>
      </c>
      <c r="L109" s="89"/>
      <c r="M109" s="89"/>
      <c r="N109" s="89"/>
      <c r="O109" s="89"/>
      <c r="P109" s="89"/>
      <c r="Q109" s="89"/>
      <c r="R109" s="89"/>
      <c r="S109" s="89"/>
      <c r="T109" s="89"/>
      <c r="U109" s="89"/>
    </row>
    <row r="110" ht="26" hidden="1" customHeight="1" spans="1:21">
      <c r="A110" s="88">
        <v>46210</v>
      </c>
      <c r="B110" s="89"/>
      <c r="C110" s="89" t="s">
        <v>48</v>
      </c>
      <c r="D110" s="89"/>
      <c r="E110" s="89"/>
      <c r="F110" s="89"/>
      <c r="G110" s="89"/>
      <c r="H110" s="89"/>
      <c r="I110" s="89"/>
      <c r="J110" s="89">
        <v>75</v>
      </c>
      <c r="K110" s="89" t="s">
        <v>230</v>
      </c>
      <c r="L110" s="89"/>
      <c r="M110" s="89"/>
      <c r="N110" s="89"/>
      <c r="O110" s="89"/>
      <c r="P110" s="89"/>
      <c r="Q110" s="89"/>
      <c r="R110" s="89"/>
      <c r="S110" s="89"/>
      <c r="T110" s="89"/>
      <c r="U110" s="89"/>
    </row>
    <row r="111" ht="30" hidden="1" customHeight="1" spans="1:21">
      <c r="A111" s="88">
        <v>46210</v>
      </c>
      <c r="B111" s="89"/>
      <c r="C111" s="89" t="s">
        <v>52</v>
      </c>
      <c r="D111" s="89"/>
      <c r="E111" s="89"/>
      <c r="F111" s="89"/>
      <c r="G111" s="89"/>
      <c r="H111" s="89"/>
      <c r="I111" s="89"/>
      <c r="J111" s="89">
        <v>0</v>
      </c>
      <c r="K111" s="89" t="s">
        <v>230</v>
      </c>
      <c r="L111" s="89"/>
      <c r="M111" s="89"/>
      <c r="N111" s="89"/>
      <c r="O111" s="89"/>
      <c r="P111" s="89"/>
      <c r="Q111" s="89"/>
      <c r="R111" s="89"/>
      <c r="S111" s="89"/>
      <c r="T111" s="89"/>
      <c r="U111" s="89"/>
    </row>
    <row r="112" ht="32" hidden="1" customHeight="1" spans="1:21">
      <c r="A112" s="88">
        <v>46210</v>
      </c>
      <c r="B112" s="89"/>
      <c r="C112" s="89" t="s">
        <v>53</v>
      </c>
      <c r="D112" s="89"/>
      <c r="E112" s="89"/>
      <c r="F112" s="89"/>
      <c r="G112" s="89"/>
      <c r="H112" s="89"/>
      <c r="I112" s="89"/>
      <c r="J112" s="89">
        <v>0</v>
      </c>
      <c r="K112" s="89" t="s">
        <v>230</v>
      </c>
      <c r="L112" s="89"/>
      <c r="M112" s="89"/>
      <c r="N112" s="89"/>
      <c r="O112" s="89"/>
      <c r="P112" s="89"/>
      <c r="Q112" s="89"/>
      <c r="R112" s="89"/>
      <c r="S112" s="89"/>
      <c r="T112" s="89"/>
      <c r="U112" s="89"/>
    </row>
    <row r="113" ht="33" hidden="1" customHeight="1" spans="1:21">
      <c r="A113" s="88">
        <v>46210</v>
      </c>
      <c r="B113" s="89"/>
      <c r="C113" s="89" t="s">
        <v>47</v>
      </c>
      <c r="D113" s="89"/>
      <c r="E113" s="89"/>
      <c r="F113" s="89"/>
      <c r="G113" s="89"/>
      <c r="H113" s="89"/>
      <c r="I113" s="89"/>
      <c r="J113" s="89">
        <v>0</v>
      </c>
      <c r="K113" s="89" t="s">
        <v>230</v>
      </c>
      <c r="L113" s="89"/>
      <c r="M113" s="89"/>
      <c r="N113" s="89"/>
      <c r="O113" s="89"/>
      <c r="P113" s="89"/>
      <c r="Q113" s="89"/>
      <c r="R113" s="89"/>
      <c r="S113" s="89"/>
      <c r="T113" s="89"/>
      <c r="U113" s="89"/>
    </row>
    <row r="114" ht="33" hidden="1" customHeight="1" spans="1:21">
      <c r="A114" s="94">
        <v>46210</v>
      </c>
      <c r="B114" s="41">
        <v>2460933</v>
      </c>
      <c r="C114" s="41" t="s">
        <v>43</v>
      </c>
      <c r="D114" s="41" t="s">
        <v>253</v>
      </c>
      <c r="E114" s="41">
        <v>13697320663</v>
      </c>
      <c r="F114" s="41" t="s">
        <v>83</v>
      </c>
      <c r="H114" s="41" t="s">
        <v>137</v>
      </c>
      <c r="I114" s="41" t="s">
        <v>56</v>
      </c>
      <c r="J114" s="41">
        <v>500</v>
      </c>
      <c r="K114" s="41" t="s">
        <v>85</v>
      </c>
      <c r="O114" s="41" t="s">
        <v>254</v>
      </c>
      <c r="S114" s="91"/>
    </row>
    <row r="115" ht="33" hidden="1" customHeight="1" spans="1:21">
      <c r="A115" s="94">
        <v>46210</v>
      </c>
      <c r="B115" s="41">
        <v>2923796</v>
      </c>
      <c r="C115" s="41" t="s">
        <v>45</v>
      </c>
      <c r="D115" s="41" t="s">
        <v>255</v>
      </c>
      <c r="E115" s="41">
        <v>19171806205</v>
      </c>
      <c r="F115" s="41" t="s">
        <v>131</v>
      </c>
      <c r="H115" s="41" t="s">
        <v>84</v>
      </c>
      <c r="I115" s="41" t="s">
        <v>55</v>
      </c>
      <c r="J115" s="41">
        <v>299</v>
      </c>
      <c r="K115" s="41" t="s">
        <v>220</v>
      </c>
      <c r="O115" s="41" t="s">
        <v>256</v>
      </c>
      <c r="P115" s="41">
        <v>9122518</v>
      </c>
      <c r="Q115" s="41" t="s">
        <v>87</v>
      </c>
      <c r="R115" s="41" t="s">
        <v>88</v>
      </c>
      <c r="S115" s="91" t="s">
        <v>87</v>
      </c>
      <c r="T115" s="41" t="s">
        <v>89</v>
      </c>
    </row>
    <row r="116" ht="33" hidden="1" customHeight="1" spans="1:21">
      <c r="A116" s="94">
        <v>46210</v>
      </c>
      <c r="C116" s="41" t="s">
        <v>43</v>
      </c>
      <c r="D116" s="41" t="s">
        <v>257</v>
      </c>
      <c r="E116" s="41">
        <v>13012477507</v>
      </c>
      <c r="F116" s="41" t="s">
        <v>131</v>
      </c>
      <c r="H116" s="41" t="s">
        <v>137</v>
      </c>
      <c r="I116" s="41" t="s">
        <v>55</v>
      </c>
      <c r="J116" s="41">
        <v>300</v>
      </c>
      <c r="K116" s="41" t="s">
        <v>118</v>
      </c>
      <c r="O116" s="41" t="s">
        <v>137</v>
      </c>
    </row>
    <row r="117" ht="29" hidden="1" customHeight="1" spans="1:21">
      <c r="A117" s="94">
        <v>46210</v>
      </c>
      <c r="C117" s="41" t="s">
        <v>43</v>
      </c>
      <c r="H117" s="41" t="s">
        <v>84</v>
      </c>
      <c r="I117" s="41" t="s">
        <v>55</v>
      </c>
      <c r="J117" s="41">
        <v>1000</v>
      </c>
      <c r="K117" s="41" t="s">
        <v>97</v>
      </c>
    </row>
    <row r="118" ht="29" hidden="1" customHeight="1" spans="1:21">
      <c r="A118" s="94">
        <v>46210</v>
      </c>
      <c r="C118" s="41" t="s">
        <v>43</v>
      </c>
      <c r="D118" s="41" t="s">
        <v>258</v>
      </c>
      <c r="E118" s="41">
        <v>15827573090</v>
      </c>
      <c r="F118" s="41" t="s">
        <v>115</v>
      </c>
      <c r="H118" s="41" t="s">
        <v>84</v>
      </c>
      <c r="I118" s="41" t="s">
        <v>55</v>
      </c>
      <c r="J118" s="41">
        <v>1200</v>
      </c>
      <c r="K118" s="41" t="s">
        <v>85</v>
      </c>
      <c r="O118" s="41" t="s">
        <v>259</v>
      </c>
      <c r="P118" s="41">
        <v>9122519</v>
      </c>
    </row>
    <row r="119" hidden="1" customHeight="1" spans="1:21">
      <c r="A119" s="94">
        <v>46210</v>
      </c>
      <c r="B119" s="41">
        <v>2855206</v>
      </c>
      <c r="C119" s="41" t="s">
        <v>44</v>
      </c>
      <c r="D119" s="41" t="s">
        <v>260</v>
      </c>
      <c r="E119" s="41">
        <v>15626338002</v>
      </c>
      <c r="F119" s="41" t="s">
        <v>150</v>
      </c>
      <c r="H119" s="41" t="s">
        <v>84</v>
      </c>
      <c r="I119" s="41" t="s">
        <v>55</v>
      </c>
      <c r="J119" s="41">
        <v>600</v>
      </c>
      <c r="K119" s="41" t="s">
        <v>261</v>
      </c>
      <c r="O119" s="41" t="s">
        <v>262</v>
      </c>
      <c r="P119" s="41">
        <v>9205532</v>
      </c>
      <c r="Q119" s="41" t="s">
        <v>87</v>
      </c>
      <c r="R119" s="41" t="s">
        <v>88</v>
      </c>
      <c r="S119" s="90" t="s">
        <v>88</v>
      </c>
      <c r="T119" s="41" t="s">
        <v>89</v>
      </c>
    </row>
    <row r="120" ht="30" hidden="1" customHeight="1" spans="1:21">
      <c r="A120" s="94">
        <v>46210</v>
      </c>
      <c r="B120" s="41">
        <v>2923798</v>
      </c>
      <c r="C120" s="41" t="s">
        <v>43</v>
      </c>
      <c r="D120" s="41" t="s">
        <v>263</v>
      </c>
      <c r="E120" s="41">
        <v>13419619046</v>
      </c>
      <c r="F120" s="41" t="s">
        <v>83</v>
      </c>
      <c r="H120" s="41" t="s">
        <v>137</v>
      </c>
      <c r="I120" s="41" t="s">
        <v>55</v>
      </c>
      <c r="J120" s="41">
        <v>1000</v>
      </c>
      <c r="K120" s="41" t="s">
        <v>85</v>
      </c>
      <c r="O120" s="41" t="s">
        <v>254</v>
      </c>
    </row>
    <row r="121" hidden="1" customHeight="1" spans="1:21">
      <c r="A121" s="94">
        <v>46210</v>
      </c>
      <c r="B121" s="41">
        <v>2855201</v>
      </c>
      <c r="C121" s="41" t="s">
        <v>43</v>
      </c>
      <c r="D121" s="41" t="s">
        <v>264</v>
      </c>
      <c r="E121" s="41">
        <v>18995532846</v>
      </c>
      <c r="F121" s="41" t="s">
        <v>121</v>
      </c>
      <c r="H121" s="41" t="s">
        <v>84</v>
      </c>
      <c r="I121" s="41" t="s">
        <v>55</v>
      </c>
      <c r="J121" s="41">
        <v>499</v>
      </c>
      <c r="K121" s="41" t="s">
        <v>118</v>
      </c>
      <c r="O121" s="41" t="s">
        <v>122</v>
      </c>
      <c r="P121" s="41">
        <v>9122572</v>
      </c>
      <c r="Q121" s="41" t="s">
        <v>87</v>
      </c>
      <c r="R121" s="41" t="s">
        <v>88</v>
      </c>
      <c r="S121" s="91" t="s">
        <v>87</v>
      </c>
      <c r="T121" s="41" t="s">
        <v>89</v>
      </c>
    </row>
    <row r="122" ht="29" hidden="1" customHeight="1" spans="1:21">
      <c r="A122" s="94">
        <v>46210</v>
      </c>
      <c r="B122" s="41">
        <v>2855202</v>
      </c>
      <c r="C122" s="41" t="s">
        <v>43</v>
      </c>
      <c r="D122" s="41" t="s">
        <v>265</v>
      </c>
      <c r="E122" s="41">
        <v>13526534710</v>
      </c>
      <c r="F122" s="41" t="s">
        <v>136</v>
      </c>
      <c r="H122" s="41" t="s">
        <v>84</v>
      </c>
      <c r="I122" s="41" t="s">
        <v>55</v>
      </c>
      <c r="J122" s="41">
        <v>600</v>
      </c>
      <c r="K122" s="41" t="s">
        <v>266</v>
      </c>
      <c r="O122" s="41" t="s">
        <v>267</v>
      </c>
      <c r="P122" s="41">
        <v>9122573</v>
      </c>
      <c r="Q122" s="41" t="s">
        <v>87</v>
      </c>
      <c r="R122" s="41" t="s">
        <v>88</v>
      </c>
      <c r="S122" s="91" t="s">
        <v>87</v>
      </c>
      <c r="T122" s="41" t="s">
        <v>89</v>
      </c>
    </row>
    <row r="123" ht="30" hidden="1" customHeight="1" spans="1:21">
      <c r="A123" s="94">
        <v>46210</v>
      </c>
      <c r="B123" s="41">
        <v>2855203</v>
      </c>
      <c r="C123" s="41" t="s">
        <v>43</v>
      </c>
      <c r="D123" s="41" t="s">
        <v>268</v>
      </c>
      <c r="E123" s="41">
        <v>15972151279</v>
      </c>
      <c r="F123" s="41" t="s">
        <v>96</v>
      </c>
      <c r="H123" s="41" t="s">
        <v>84</v>
      </c>
      <c r="I123" s="41" t="s">
        <v>55</v>
      </c>
      <c r="J123" s="41">
        <v>2000</v>
      </c>
      <c r="K123" s="41" t="s">
        <v>118</v>
      </c>
      <c r="O123" s="41" t="s">
        <v>269</v>
      </c>
      <c r="P123" s="41">
        <v>9122574</v>
      </c>
      <c r="Q123" s="41" t="s">
        <v>87</v>
      </c>
      <c r="R123" s="41" t="s">
        <v>88</v>
      </c>
      <c r="S123" s="90" t="s">
        <v>88</v>
      </c>
      <c r="T123" s="41" t="s">
        <v>89</v>
      </c>
    </row>
    <row r="124" hidden="1" customHeight="1" spans="1:21">
      <c r="A124" s="94">
        <v>46210</v>
      </c>
      <c r="B124" s="41">
        <v>2855205</v>
      </c>
      <c r="C124" s="41" t="s">
        <v>43</v>
      </c>
      <c r="D124" s="41" t="s">
        <v>270</v>
      </c>
      <c r="E124" s="41">
        <v>18986108125</v>
      </c>
      <c r="F124" s="41" t="s">
        <v>83</v>
      </c>
      <c r="H124" s="41" t="s">
        <v>84</v>
      </c>
      <c r="I124" s="41" t="s">
        <v>55</v>
      </c>
      <c r="J124" s="41">
        <v>1500</v>
      </c>
      <c r="K124" s="41" t="s">
        <v>97</v>
      </c>
      <c r="O124" s="41" t="s">
        <v>271</v>
      </c>
      <c r="P124" s="41">
        <v>9310368</v>
      </c>
      <c r="Q124" s="41" t="s">
        <v>87</v>
      </c>
      <c r="R124" s="41" t="s">
        <v>88</v>
      </c>
      <c r="S124" s="91" t="s">
        <v>87</v>
      </c>
      <c r="T124" s="41" t="s">
        <v>89</v>
      </c>
    </row>
    <row r="125" ht="23" hidden="1" customHeight="1" spans="1:21">
      <c r="A125" s="88">
        <v>46211</v>
      </c>
      <c r="B125" s="89"/>
      <c r="C125" s="89" t="s">
        <v>50</v>
      </c>
      <c r="D125" s="89"/>
      <c r="E125" s="89"/>
      <c r="F125" s="89"/>
      <c r="G125" s="89"/>
      <c r="H125" s="89"/>
      <c r="I125" s="89"/>
      <c r="J125" s="89">
        <v>46</v>
      </c>
      <c r="K125" s="89" t="s">
        <v>191</v>
      </c>
      <c r="L125" s="89"/>
      <c r="M125" s="89"/>
      <c r="N125" s="89"/>
      <c r="O125" s="89"/>
      <c r="P125" s="89"/>
      <c r="Q125" s="89"/>
      <c r="R125" s="89"/>
      <c r="S125" s="89"/>
      <c r="T125" s="89"/>
    </row>
    <row r="126" ht="40" hidden="1" customHeight="1" spans="1:21">
      <c r="A126" s="88">
        <v>46211</v>
      </c>
      <c r="B126" s="89"/>
      <c r="C126" s="89" t="s">
        <v>48</v>
      </c>
      <c r="D126" s="89"/>
      <c r="E126" s="89"/>
      <c r="F126" s="89"/>
      <c r="G126" s="89"/>
      <c r="H126" s="89"/>
      <c r="I126" s="89"/>
      <c r="J126" s="89">
        <v>0</v>
      </c>
      <c r="K126" s="89" t="s">
        <v>191</v>
      </c>
      <c r="L126" s="89"/>
      <c r="M126" s="89"/>
      <c r="N126" s="89"/>
      <c r="O126" s="89"/>
      <c r="P126" s="89"/>
      <c r="Q126" s="89"/>
      <c r="R126" s="89"/>
      <c r="S126" s="89"/>
      <c r="T126" s="89"/>
    </row>
    <row r="127" ht="29" hidden="1" customHeight="1" spans="1:21">
      <c r="A127" s="88">
        <v>46211</v>
      </c>
      <c r="B127" s="89"/>
      <c r="C127" s="89" t="s">
        <v>52</v>
      </c>
      <c r="D127" s="89"/>
      <c r="E127" s="89"/>
      <c r="F127" s="89"/>
      <c r="G127" s="89"/>
      <c r="H127" s="89"/>
      <c r="I127" s="89"/>
      <c r="J127" s="89">
        <v>29.7</v>
      </c>
      <c r="K127" s="89" t="s">
        <v>191</v>
      </c>
      <c r="L127" s="89"/>
      <c r="M127" s="89"/>
      <c r="N127" s="89"/>
      <c r="O127" s="89"/>
      <c r="P127" s="89"/>
      <c r="Q127" s="89"/>
      <c r="R127" s="89"/>
      <c r="S127" s="89"/>
      <c r="T127" s="89"/>
    </row>
    <row r="128" hidden="1" customHeight="1" spans="1:21">
      <c r="A128" s="88">
        <v>46211</v>
      </c>
      <c r="B128" s="89"/>
      <c r="C128" s="89" t="s">
        <v>53</v>
      </c>
      <c r="D128" s="89"/>
      <c r="E128" s="89"/>
      <c r="F128" s="89"/>
      <c r="G128" s="89"/>
      <c r="H128" s="89"/>
      <c r="I128" s="89"/>
      <c r="J128" s="89">
        <v>0</v>
      </c>
      <c r="K128" s="89" t="s">
        <v>191</v>
      </c>
      <c r="L128" s="89"/>
      <c r="M128" s="89"/>
      <c r="N128" s="89"/>
      <c r="O128" s="89"/>
      <c r="P128" s="89"/>
      <c r="Q128" s="89"/>
      <c r="R128" s="89"/>
      <c r="S128" s="89"/>
      <c r="T128" s="89"/>
    </row>
    <row r="129" hidden="1" customHeight="1" spans="1:20">
      <c r="A129" s="88">
        <v>46211</v>
      </c>
      <c r="B129" s="89"/>
      <c r="C129" s="89" t="s">
        <v>47</v>
      </c>
      <c r="D129" s="89"/>
      <c r="E129" s="89"/>
      <c r="F129" s="89"/>
      <c r="G129" s="89"/>
      <c r="H129" s="89"/>
      <c r="I129" s="89"/>
      <c r="J129" s="89">
        <v>0</v>
      </c>
      <c r="K129" s="89" t="s">
        <v>191</v>
      </c>
      <c r="L129" s="89"/>
      <c r="M129" s="89"/>
      <c r="N129" s="89"/>
      <c r="O129" s="89"/>
      <c r="P129" s="89"/>
      <c r="Q129" s="89"/>
      <c r="R129" s="89"/>
      <c r="S129" s="89"/>
      <c r="T129" s="89"/>
    </row>
    <row r="130" ht="27" hidden="1" customHeight="1" spans="1:20">
      <c r="A130" s="94">
        <v>46211</v>
      </c>
      <c r="B130" s="41">
        <v>2923594</v>
      </c>
      <c r="C130" s="41" t="s">
        <v>43</v>
      </c>
      <c r="D130" s="41" t="s">
        <v>272</v>
      </c>
      <c r="E130" s="41">
        <v>13797499185</v>
      </c>
      <c r="F130" s="41" t="s">
        <v>91</v>
      </c>
      <c r="H130" s="41" t="s">
        <v>84</v>
      </c>
      <c r="I130" s="41" t="s">
        <v>56</v>
      </c>
      <c r="J130" s="41">
        <v>1000</v>
      </c>
      <c r="K130" s="41" t="s">
        <v>85</v>
      </c>
      <c r="O130" s="41" t="s">
        <v>273</v>
      </c>
      <c r="P130" s="41">
        <v>9308998</v>
      </c>
      <c r="Q130" s="41" t="s">
        <v>87</v>
      </c>
      <c r="R130" s="41" t="s">
        <v>88</v>
      </c>
      <c r="S130" s="91" t="s">
        <v>87</v>
      </c>
      <c r="T130" s="41" t="s">
        <v>89</v>
      </c>
    </row>
    <row r="131" hidden="1" customHeight="1" spans="1:20">
      <c r="A131" s="94">
        <v>46211</v>
      </c>
      <c r="B131" s="41">
        <v>2855207</v>
      </c>
      <c r="C131" s="41" t="s">
        <v>43</v>
      </c>
      <c r="D131" s="41" t="s">
        <v>260</v>
      </c>
      <c r="E131" s="41">
        <v>15926338002</v>
      </c>
      <c r="F131" s="41" t="s">
        <v>115</v>
      </c>
      <c r="H131" s="41" t="s">
        <v>84</v>
      </c>
      <c r="I131" s="41" t="s">
        <v>55</v>
      </c>
      <c r="J131" s="41">
        <v>1099</v>
      </c>
      <c r="K131" s="41" t="s">
        <v>261</v>
      </c>
      <c r="O131" s="41" t="s">
        <v>274</v>
      </c>
      <c r="P131" s="41">
        <v>9122576</v>
      </c>
      <c r="Q131" s="41" t="s">
        <v>87</v>
      </c>
      <c r="R131" s="41" t="s">
        <v>88</v>
      </c>
      <c r="S131" s="91" t="s">
        <v>87</v>
      </c>
      <c r="T131" s="41" t="s">
        <v>89</v>
      </c>
    </row>
    <row r="132" hidden="1" customHeight="1" spans="1:20">
      <c r="A132" s="94">
        <v>46211</v>
      </c>
      <c r="B132" s="41">
        <v>2855209</v>
      </c>
      <c r="C132" s="41" t="s">
        <v>43</v>
      </c>
      <c r="D132" s="41" t="s">
        <v>275</v>
      </c>
      <c r="E132" s="41">
        <v>13796556661</v>
      </c>
      <c r="F132" s="41" t="s">
        <v>115</v>
      </c>
      <c r="H132" s="41" t="s">
        <v>84</v>
      </c>
      <c r="I132" s="41" t="s">
        <v>55</v>
      </c>
      <c r="J132" s="41">
        <v>1000</v>
      </c>
      <c r="K132" s="41" t="s">
        <v>266</v>
      </c>
      <c r="O132" s="41" t="s">
        <v>274</v>
      </c>
      <c r="P132" s="41">
        <v>9122577</v>
      </c>
      <c r="Q132" s="41" t="s">
        <v>87</v>
      </c>
      <c r="R132" s="41" t="s">
        <v>88</v>
      </c>
      <c r="S132" s="91" t="s">
        <v>87</v>
      </c>
      <c r="T132" s="41" t="s">
        <v>89</v>
      </c>
    </row>
    <row r="133" hidden="1" customHeight="1" spans="1:20">
      <c r="A133" s="94">
        <v>46211</v>
      </c>
      <c r="B133" s="41">
        <v>2855204</v>
      </c>
      <c r="C133" s="41" t="s">
        <v>45</v>
      </c>
      <c r="D133" s="41" t="s">
        <v>276</v>
      </c>
      <c r="E133" s="41">
        <v>18611394797</v>
      </c>
      <c r="F133" s="41" t="s">
        <v>83</v>
      </c>
      <c r="H133" s="41" t="s">
        <v>84</v>
      </c>
      <c r="I133" s="41" t="s">
        <v>55</v>
      </c>
      <c r="J133" s="41">
        <v>1800</v>
      </c>
      <c r="K133" s="41" t="s">
        <v>167</v>
      </c>
      <c r="O133" s="41" t="s">
        <v>277</v>
      </c>
      <c r="P133" s="41">
        <v>9122575</v>
      </c>
      <c r="Q133" s="41" t="s">
        <v>87</v>
      </c>
      <c r="R133" s="41" t="s">
        <v>88</v>
      </c>
      <c r="S133" s="91" t="s">
        <v>87</v>
      </c>
      <c r="T133" s="41" t="s">
        <v>89</v>
      </c>
    </row>
    <row r="134" hidden="1" customHeight="1" spans="1:20">
      <c r="A134" s="94">
        <v>46211</v>
      </c>
      <c r="B134" s="41">
        <v>2855208</v>
      </c>
      <c r="C134" s="41" t="s">
        <v>45</v>
      </c>
      <c r="D134" s="41" t="s">
        <v>278</v>
      </c>
      <c r="E134" s="41">
        <v>17771893805</v>
      </c>
      <c r="F134" s="41" t="s">
        <v>83</v>
      </c>
      <c r="H134" s="41" t="s">
        <v>137</v>
      </c>
      <c r="I134" s="41" t="s">
        <v>55</v>
      </c>
      <c r="J134" s="41">
        <v>1111</v>
      </c>
      <c r="K134" s="41" t="s">
        <v>133</v>
      </c>
      <c r="O134" s="41" t="s">
        <v>279</v>
      </c>
    </row>
    <row r="135" ht="27" hidden="1" customHeight="1" spans="1:20">
      <c r="A135" s="94">
        <v>46211</v>
      </c>
      <c r="B135" s="41">
        <v>2923799</v>
      </c>
      <c r="C135" s="41" t="s">
        <v>45</v>
      </c>
      <c r="D135" s="41" t="s">
        <v>280</v>
      </c>
      <c r="E135" s="41">
        <v>18271121988</v>
      </c>
      <c r="F135" s="41" t="s">
        <v>83</v>
      </c>
      <c r="H135" s="41" t="s">
        <v>137</v>
      </c>
      <c r="I135" s="41" t="s">
        <v>55</v>
      </c>
      <c r="J135" s="41">
        <v>1000</v>
      </c>
      <c r="K135" s="41" t="s">
        <v>85</v>
      </c>
      <c r="O135" s="41" t="s">
        <v>281</v>
      </c>
    </row>
    <row r="136" hidden="1" customHeight="1" spans="1:20">
      <c r="A136" s="94">
        <v>46211</v>
      </c>
      <c r="B136" s="41">
        <v>2923596</v>
      </c>
      <c r="C136" s="41" t="s">
        <v>45</v>
      </c>
      <c r="D136" s="41" t="s">
        <v>282</v>
      </c>
      <c r="E136" s="41">
        <v>13164102258</v>
      </c>
      <c r="F136" s="41" t="s">
        <v>91</v>
      </c>
      <c r="H136" s="41" t="s">
        <v>84</v>
      </c>
      <c r="I136" s="41" t="s">
        <v>55</v>
      </c>
      <c r="J136" s="41">
        <v>900</v>
      </c>
      <c r="K136" s="41" t="s">
        <v>85</v>
      </c>
      <c r="O136" s="41" t="s">
        <v>283</v>
      </c>
      <c r="P136" s="41">
        <v>9309000</v>
      </c>
      <c r="Q136" s="41" t="s">
        <v>87</v>
      </c>
      <c r="R136" s="41" t="s">
        <v>88</v>
      </c>
      <c r="S136" s="91" t="s">
        <v>87</v>
      </c>
      <c r="T136" s="41" t="s">
        <v>89</v>
      </c>
    </row>
    <row r="137" ht="36" hidden="1" customHeight="1" spans="1:20">
      <c r="A137" s="94">
        <v>46211</v>
      </c>
      <c r="B137" s="41">
        <v>2923800</v>
      </c>
      <c r="C137" s="41" t="s">
        <v>45</v>
      </c>
      <c r="D137" s="44" t="s">
        <v>284</v>
      </c>
      <c r="E137" s="41">
        <v>18971230309</v>
      </c>
      <c r="F137" s="41" t="s">
        <v>91</v>
      </c>
      <c r="H137" s="41" t="s">
        <v>84</v>
      </c>
      <c r="I137" s="41" t="s">
        <v>55</v>
      </c>
      <c r="J137" s="41">
        <v>2000</v>
      </c>
      <c r="K137" s="41" t="s">
        <v>118</v>
      </c>
      <c r="O137" s="41" t="s">
        <v>285</v>
      </c>
      <c r="P137" s="41">
        <v>9303999</v>
      </c>
      <c r="Q137" s="41" t="s">
        <v>87</v>
      </c>
      <c r="R137" s="41" t="s">
        <v>88</v>
      </c>
      <c r="S137" s="91" t="s">
        <v>87</v>
      </c>
      <c r="T137" s="41" t="s">
        <v>89</v>
      </c>
    </row>
    <row r="138" hidden="1" customHeight="1" spans="1:20">
      <c r="A138" s="94">
        <v>46211</v>
      </c>
      <c r="B138" s="41">
        <v>2923595</v>
      </c>
      <c r="C138" s="41" t="s">
        <v>43</v>
      </c>
      <c r="D138" s="41" t="s">
        <v>286</v>
      </c>
      <c r="E138" s="41">
        <v>13874371537</v>
      </c>
      <c r="F138" s="41" t="s">
        <v>115</v>
      </c>
      <c r="H138" s="41" t="s">
        <v>84</v>
      </c>
      <c r="I138" s="41" t="s">
        <v>56</v>
      </c>
      <c r="J138" s="41">
        <v>1100</v>
      </c>
      <c r="K138" s="41" t="s">
        <v>85</v>
      </c>
      <c r="O138" s="41" t="s">
        <v>287</v>
      </c>
      <c r="P138" s="41">
        <v>9122520</v>
      </c>
      <c r="Q138" s="41" t="s">
        <v>87</v>
      </c>
      <c r="R138" s="41" t="s">
        <v>88</v>
      </c>
      <c r="S138" s="91" t="s">
        <v>87</v>
      </c>
      <c r="T138" s="41" t="s">
        <v>89</v>
      </c>
    </row>
    <row r="139" hidden="1" customHeight="1" spans="1:20">
      <c r="A139" s="94">
        <v>46211</v>
      </c>
      <c r="B139" s="41">
        <v>2855210</v>
      </c>
      <c r="C139" s="41" t="s">
        <v>43</v>
      </c>
      <c r="D139" s="41" t="s">
        <v>288</v>
      </c>
      <c r="E139" s="41">
        <v>17740509386</v>
      </c>
      <c r="F139" s="41" t="s">
        <v>96</v>
      </c>
      <c r="H139" s="41" t="s">
        <v>84</v>
      </c>
      <c r="I139" s="41" t="s">
        <v>57</v>
      </c>
      <c r="J139" s="41">
        <v>3000</v>
      </c>
      <c r="K139" s="41" t="s">
        <v>97</v>
      </c>
      <c r="O139" s="91" t="s">
        <v>289</v>
      </c>
      <c r="P139" s="41">
        <v>9122578</v>
      </c>
      <c r="Q139" s="41" t="s">
        <v>87</v>
      </c>
      <c r="R139" s="41" t="s">
        <v>88</v>
      </c>
      <c r="S139" s="91" t="s">
        <v>87</v>
      </c>
      <c r="T139" s="41" t="s">
        <v>89</v>
      </c>
    </row>
    <row r="140" ht="28" hidden="1" customHeight="1" spans="1:20">
      <c r="A140" s="88">
        <v>46212</v>
      </c>
      <c r="B140" s="89"/>
      <c r="C140" s="89" t="s">
        <v>50</v>
      </c>
      <c r="D140" s="89"/>
      <c r="E140" s="89"/>
      <c r="F140" s="89"/>
      <c r="G140" s="89"/>
      <c r="H140" s="89"/>
      <c r="I140" s="89"/>
      <c r="J140" s="89">
        <v>25</v>
      </c>
      <c r="K140" s="89" t="s">
        <v>191</v>
      </c>
      <c r="L140" s="89"/>
      <c r="M140" s="89"/>
      <c r="N140" s="89"/>
      <c r="O140" s="89"/>
      <c r="P140" s="89"/>
      <c r="Q140" s="89"/>
      <c r="R140" s="89"/>
      <c r="S140" s="89"/>
      <c r="T140" s="89"/>
    </row>
    <row r="141" ht="27" hidden="1" customHeight="1" spans="1:20">
      <c r="A141" s="88">
        <v>46212</v>
      </c>
      <c r="B141" s="89"/>
      <c r="C141" s="89" t="s">
        <v>48</v>
      </c>
      <c r="D141" s="89"/>
      <c r="E141" s="89"/>
      <c r="F141" s="89"/>
      <c r="G141" s="89"/>
      <c r="H141" s="89"/>
      <c r="I141" s="89"/>
      <c r="J141" s="89">
        <v>40</v>
      </c>
      <c r="K141" s="89" t="s">
        <v>191</v>
      </c>
      <c r="L141" s="89"/>
      <c r="M141" s="89"/>
      <c r="N141" s="89"/>
      <c r="O141" s="89"/>
      <c r="P141" s="89"/>
      <c r="Q141" s="89"/>
      <c r="R141" s="89"/>
      <c r="S141" s="89"/>
      <c r="T141" s="89"/>
    </row>
    <row r="142" hidden="1" customHeight="1" spans="1:20">
      <c r="A142" s="88">
        <v>46212</v>
      </c>
      <c r="B142" s="89"/>
      <c r="C142" s="89" t="s">
        <v>52</v>
      </c>
      <c r="D142" s="89"/>
      <c r="E142" s="89"/>
      <c r="F142" s="89"/>
      <c r="G142" s="89"/>
      <c r="H142" s="89"/>
      <c r="I142" s="89"/>
      <c r="J142" s="89">
        <v>29.7</v>
      </c>
      <c r="K142" s="89" t="s">
        <v>191</v>
      </c>
      <c r="L142" s="89"/>
      <c r="M142" s="89"/>
      <c r="N142" s="89"/>
      <c r="O142" s="89"/>
      <c r="P142" s="89"/>
      <c r="Q142" s="89"/>
      <c r="R142" s="89"/>
      <c r="S142" s="89"/>
      <c r="T142" s="89"/>
    </row>
    <row r="143" hidden="1" customHeight="1" spans="1:20">
      <c r="A143" s="88">
        <v>46212</v>
      </c>
      <c r="B143" s="89"/>
      <c r="C143" s="89" t="s">
        <v>53</v>
      </c>
      <c r="D143" s="89"/>
      <c r="E143" s="89"/>
      <c r="F143" s="89"/>
      <c r="G143" s="89"/>
      <c r="H143" s="89"/>
      <c r="I143" s="89"/>
      <c r="J143" s="89">
        <v>0</v>
      </c>
      <c r="K143" s="89" t="s">
        <v>191</v>
      </c>
      <c r="L143" s="89"/>
      <c r="M143" s="89"/>
      <c r="N143" s="89"/>
      <c r="O143" s="89"/>
      <c r="P143" s="89"/>
      <c r="Q143" s="89"/>
      <c r="R143" s="89"/>
      <c r="S143" s="89"/>
      <c r="T143" s="89"/>
    </row>
    <row r="144" hidden="1" customHeight="1" spans="1:20">
      <c r="A144" s="88">
        <v>46212</v>
      </c>
      <c r="B144" s="89"/>
      <c r="C144" s="89" t="s">
        <v>47</v>
      </c>
      <c r="D144" s="89"/>
      <c r="E144" s="89"/>
      <c r="F144" s="89"/>
      <c r="G144" s="89"/>
      <c r="H144" s="89"/>
      <c r="I144" s="89"/>
      <c r="J144" s="89">
        <v>0</v>
      </c>
      <c r="K144" s="89" t="s">
        <v>191</v>
      </c>
      <c r="L144" s="89"/>
      <c r="M144" s="89"/>
      <c r="N144" s="89"/>
      <c r="O144" s="89"/>
      <c r="P144" s="89"/>
      <c r="Q144" s="89"/>
      <c r="R144" s="89"/>
      <c r="S144" s="89"/>
      <c r="T144" s="89"/>
    </row>
    <row r="145" ht="28" hidden="1" customHeight="1" spans="1:20">
      <c r="A145" s="94">
        <v>46212</v>
      </c>
      <c r="B145" s="41">
        <v>2855211</v>
      </c>
      <c r="C145" s="41" t="s">
        <v>45</v>
      </c>
      <c r="D145" s="41" t="s">
        <v>290</v>
      </c>
      <c r="E145" s="41">
        <v>19037372686</v>
      </c>
      <c r="F145" s="41" t="s">
        <v>91</v>
      </c>
      <c r="H145" s="41" t="s">
        <v>84</v>
      </c>
      <c r="I145" s="41" t="s">
        <v>55</v>
      </c>
      <c r="J145" s="41">
        <v>1490</v>
      </c>
      <c r="K145" s="41" t="s">
        <v>118</v>
      </c>
      <c r="O145" s="41" t="s">
        <v>291</v>
      </c>
      <c r="P145" s="41">
        <v>9310369</v>
      </c>
      <c r="Q145" s="41" t="s">
        <v>87</v>
      </c>
      <c r="R145" s="41" t="s">
        <v>88</v>
      </c>
      <c r="S145" s="91" t="s">
        <v>87</v>
      </c>
      <c r="T145" s="41" t="s">
        <v>89</v>
      </c>
    </row>
    <row r="146" ht="28" hidden="1" customHeight="1" spans="1:20">
      <c r="A146" s="94">
        <v>46212</v>
      </c>
      <c r="B146" s="41">
        <v>2923597</v>
      </c>
      <c r="C146" s="41" t="s">
        <v>45</v>
      </c>
      <c r="D146" s="41" t="s">
        <v>292</v>
      </c>
      <c r="E146" s="41">
        <v>13554212464</v>
      </c>
      <c r="F146" s="41" t="s">
        <v>91</v>
      </c>
      <c r="H146" s="41" t="s">
        <v>84</v>
      </c>
      <c r="I146" s="41" t="s">
        <v>55</v>
      </c>
      <c r="J146" s="41">
        <v>1000</v>
      </c>
      <c r="K146" s="41" t="s">
        <v>85</v>
      </c>
      <c r="O146" s="41" t="s">
        <v>293</v>
      </c>
      <c r="P146" s="41">
        <v>9310438</v>
      </c>
      <c r="Q146" s="41" t="s">
        <v>87</v>
      </c>
      <c r="R146" s="41" t="s">
        <v>88</v>
      </c>
      <c r="S146" s="91" t="s">
        <v>87</v>
      </c>
      <c r="T146" s="41" t="s">
        <v>89</v>
      </c>
    </row>
    <row r="147" hidden="1" customHeight="1" spans="1:20">
      <c r="A147" s="94">
        <v>46212</v>
      </c>
      <c r="B147" s="41">
        <v>2955217</v>
      </c>
      <c r="C147" s="41" t="s">
        <v>45</v>
      </c>
      <c r="D147" s="41" t="s">
        <v>294</v>
      </c>
      <c r="E147" s="41">
        <v>18627944595</v>
      </c>
      <c r="F147" s="41" t="s">
        <v>91</v>
      </c>
      <c r="H147" s="41" t="s">
        <v>84</v>
      </c>
      <c r="I147" s="41" t="s">
        <v>55</v>
      </c>
      <c r="J147" s="41">
        <v>1800</v>
      </c>
      <c r="K147" s="41" t="s">
        <v>85</v>
      </c>
      <c r="O147" s="41" t="s">
        <v>295</v>
      </c>
      <c r="P147" s="41">
        <v>9310439</v>
      </c>
      <c r="Q147" s="41" t="s">
        <v>87</v>
      </c>
      <c r="R147" s="41" t="s">
        <v>88</v>
      </c>
      <c r="S147" s="91" t="s">
        <v>87</v>
      </c>
      <c r="T147" s="41" t="s">
        <v>89</v>
      </c>
    </row>
    <row r="148" hidden="1" customHeight="1" spans="1:20">
      <c r="A148" s="94">
        <v>46212</v>
      </c>
      <c r="B148" s="41">
        <v>2855212</v>
      </c>
      <c r="C148" s="41" t="s">
        <v>45</v>
      </c>
      <c r="D148" s="41" t="s">
        <v>296</v>
      </c>
      <c r="E148" s="41">
        <v>18140551010</v>
      </c>
      <c r="F148" s="41" t="s">
        <v>91</v>
      </c>
      <c r="H148" s="41" t="s">
        <v>84</v>
      </c>
      <c r="I148" s="41" t="s">
        <v>55</v>
      </c>
      <c r="J148" s="41">
        <v>1000</v>
      </c>
      <c r="K148" s="41" t="s">
        <v>118</v>
      </c>
      <c r="O148" s="41" t="s">
        <v>297</v>
      </c>
      <c r="P148" s="41">
        <v>9310370</v>
      </c>
      <c r="Q148" s="41" t="s">
        <v>87</v>
      </c>
      <c r="R148" s="41" t="s">
        <v>88</v>
      </c>
      <c r="S148" s="91" t="s">
        <v>87</v>
      </c>
      <c r="T148" s="41" t="s">
        <v>89</v>
      </c>
    </row>
    <row r="149" hidden="1" customHeight="1" spans="1:20">
      <c r="A149" s="94">
        <v>46212</v>
      </c>
      <c r="B149" s="41">
        <v>2955218</v>
      </c>
      <c r="C149" s="41" t="s">
        <v>45</v>
      </c>
      <c r="D149" s="41" t="s">
        <v>298</v>
      </c>
      <c r="E149" s="41">
        <v>15927129741</v>
      </c>
      <c r="F149" s="41" t="s">
        <v>91</v>
      </c>
      <c r="H149" s="41" t="s">
        <v>84</v>
      </c>
      <c r="I149" s="41" t="s">
        <v>55</v>
      </c>
      <c r="J149" s="41">
        <v>800</v>
      </c>
      <c r="K149" s="41" t="s">
        <v>85</v>
      </c>
      <c r="O149" s="41" t="s">
        <v>299</v>
      </c>
      <c r="P149" s="41">
        <v>9310440</v>
      </c>
      <c r="Q149" s="41" t="s">
        <v>87</v>
      </c>
      <c r="R149" s="41" t="s">
        <v>88</v>
      </c>
      <c r="S149" s="91" t="s">
        <v>87</v>
      </c>
      <c r="T149" s="41" t="s">
        <v>89</v>
      </c>
    </row>
    <row r="150" ht="28" hidden="1" customHeight="1" spans="1:20">
      <c r="A150" s="94">
        <v>46212</v>
      </c>
      <c r="B150" s="41">
        <v>2955219</v>
      </c>
      <c r="C150" s="41" t="s">
        <v>43</v>
      </c>
      <c r="D150" s="41" t="s">
        <v>300</v>
      </c>
      <c r="E150" s="41">
        <v>13871196239</v>
      </c>
      <c r="F150" s="41" t="s">
        <v>96</v>
      </c>
      <c r="H150" s="41" t="s">
        <v>84</v>
      </c>
      <c r="I150" s="41" t="s">
        <v>55</v>
      </c>
      <c r="J150" s="41">
        <v>2000</v>
      </c>
      <c r="K150" s="41" t="s">
        <v>85</v>
      </c>
      <c r="O150" s="41" t="s">
        <v>162</v>
      </c>
      <c r="P150" s="41">
        <v>9122521</v>
      </c>
      <c r="Q150" s="41" t="s">
        <v>87</v>
      </c>
      <c r="R150" s="41" t="s">
        <v>88</v>
      </c>
      <c r="S150" s="91" t="s">
        <v>87</v>
      </c>
      <c r="T150" s="41" t="s">
        <v>89</v>
      </c>
    </row>
    <row r="151" ht="32" hidden="1" customHeight="1" spans="1:20">
      <c r="A151" s="94">
        <v>46212</v>
      </c>
      <c r="B151" s="41">
        <v>2855213</v>
      </c>
      <c r="C151" s="41" t="s">
        <v>44</v>
      </c>
      <c r="D151" s="41" t="s">
        <v>301</v>
      </c>
      <c r="E151" s="41">
        <v>18040596711</v>
      </c>
      <c r="F151" s="41" t="s">
        <v>150</v>
      </c>
      <c r="H151" s="41" t="s">
        <v>84</v>
      </c>
      <c r="I151" s="41" t="s">
        <v>55</v>
      </c>
      <c r="J151" s="41">
        <v>3600</v>
      </c>
      <c r="K151" s="41" t="s">
        <v>302</v>
      </c>
      <c r="O151" s="41" t="s">
        <v>303</v>
      </c>
      <c r="P151" s="41">
        <v>9205533</v>
      </c>
      <c r="Q151" s="41" t="s">
        <v>87</v>
      </c>
      <c r="R151" s="41" t="s">
        <v>88</v>
      </c>
      <c r="S151" s="91" t="s">
        <v>87</v>
      </c>
      <c r="T151" s="41" t="s">
        <v>89</v>
      </c>
    </row>
    <row r="152" ht="28" hidden="1" customHeight="1" spans="1:20">
      <c r="A152" s="94">
        <v>46212</v>
      </c>
      <c r="C152" s="41" t="s">
        <v>43</v>
      </c>
      <c r="H152" s="41" t="s">
        <v>84</v>
      </c>
      <c r="I152" s="41" t="s">
        <v>56</v>
      </c>
      <c r="J152" s="41">
        <v>80</v>
      </c>
      <c r="K152" s="41" t="s">
        <v>118</v>
      </c>
    </row>
    <row r="153" ht="24" hidden="1" customHeight="1" spans="1:20">
      <c r="A153" s="94">
        <v>46212</v>
      </c>
      <c r="C153" s="41" t="s">
        <v>43</v>
      </c>
      <c r="H153" s="41" t="s">
        <v>84</v>
      </c>
      <c r="I153" s="41" t="s">
        <v>55</v>
      </c>
      <c r="J153" s="41">
        <v>200</v>
      </c>
      <c r="K153" s="41" t="s">
        <v>304</v>
      </c>
    </row>
    <row r="154" ht="32" hidden="1" customHeight="1" spans="1:20">
      <c r="A154" s="94">
        <v>46212</v>
      </c>
      <c r="B154" s="41">
        <v>2460935</v>
      </c>
      <c r="C154" s="41" t="s">
        <v>45</v>
      </c>
      <c r="D154" s="44" t="s">
        <v>305</v>
      </c>
      <c r="E154" s="44" t="s">
        <v>306</v>
      </c>
      <c r="F154" s="41" t="s">
        <v>91</v>
      </c>
      <c r="H154" s="41" t="s">
        <v>84</v>
      </c>
      <c r="I154" s="41" t="s">
        <v>55</v>
      </c>
      <c r="J154" s="41">
        <v>2000</v>
      </c>
      <c r="K154" s="41" t="s">
        <v>118</v>
      </c>
      <c r="O154" s="41" t="s">
        <v>307</v>
      </c>
      <c r="P154" s="41">
        <v>9122522</v>
      </c>
      <c r="Q154" s="41" t="s">
        <v>87</v>
      </c>
      <c r="R154" s="41" t="s">
        <v>88</v>
      </c>
      <c r="S154" s="91" t="s">
        <v>87</v>
      </c>
      <c r="T154" s="41" t="s">
        <v>89</v>
      </c>
    </row>
    <row r="155" ht="27" hidden="1" customHeight="1" spans="1:20">
      <c r="A155" s="94">
        <v>46212</v>
      </c>
      <c r="B155" s="41">
        <v>2460936</v>
      </c>
      <c r="C155" s="41" t="s">
        <v>43</v>
      </c>
      <c r="D155" s="44" t="s">
        <v>308</v>
      </c>
      <c r="E155" s="41">
        <v>18171194203</v>
      </c>
      <c r="F155" s="41" t="s">
        <v>91</v>
      </c>
      <c r="H155" s="41" t="s">
        <v>84</v>
      </c>
      <c r="I155" s="41" t="s">
        <v>55</v>
      </c>
      <c r="J155" s="41">
        <v>1900</v>
      </c>
      <c r="K155" s="41" t="s">
        <v>85</v>
      </c>
      <c r="O155" s="41" t="s">
        <v>309</v>
      </c>
      <c r="P155" s="41">
        <v>9122523</v>
      </c>
      <c r="Q155" s="41" t="s">
        <v>87</v>
      </c>
      <c r="R155" s="41" t="s">
        <v>88</v>
      </c>
      <c r="S155" s="91" t="s">
        <v>87</v>
      </c>
      <c r="T155" s="41" t="s">
        <v>89</v>
      </c>
    </row>
    <row r="156" ht="32" hidden="1" customHeight="1" spans="1:20">
      <c r="A156" s="94">
        <v>46212</v>
      </c>
      <c r="B156" s="41">
        <v>2923598</v>
      </c>
      <c r="C156" s="41" t="s">
        <v>45</v>
      </c>
      <c r="D156" s="44" t="s">
        <v>310</v>
      </c>
      <c r="E156" s="41">
        <v>18674079208</v>
      </c>
      <c r="F156" s="41" t="s">
        <v>91</v>
      </c>
      <c r="H156" s="41" t="s">
        <v>84</v>
      </c>
      <c r="I156" s="41" t="s">
        <v>55</v>
      </c>
      <c r="J156" s="41">
        <v>1000</v>
      </c>
      <c r="K156" s="41" t="s">
        <v>85</v>
      </c>
      <c r="O156" s="41" t="s">
        <v>311</v>
      </c>
      <c r="P156" s="41">
        <v>9122524</v>
      </c>
      <c r="Q156" s="41" t="s">
        <v>87</v>
      </c>
      <c r="R156" s="41" t="s">
        <v>88</v>
      </c>
      <c r="S156" s="91" t="s">
        <v>87</v>
      </c>
      <c r="T156" s="41" t="s">
        <v>89</v>
      </c>
    </row>
    <row r="157" ht="27" hidden="1" customHeight="1" spans="1:20">
      <c r="A157" s="94">
        <v>46212</v>
      </c>
      <c r="B157" s="41">
        <v>2955220</v>
      </c>
      <c r="C157" s="41" t="s">
        <v>43</v>
      </c>
      <c r="D157" s="44" t="s">
        <v>312</v>
      </c>
      <c r="E157" s="41">
        <v>15327259761</v>
      </c>
      <c r="F157" s="41" t="s">
        <v>131</v>
      </c>
      <c r="H157" s="41" t="s">
        <v>84</v>
      </c>
      <c r="I157" s="41" t="s">
        <v>56</v>
      </c>
      <c r="J157" s="41">
        <v>400</v>
      </c>
      <c r="K157" s="41" t="s">
        <v>85</v>
      </c>
      <c r="O157" s="41" t="s">
        <v>313</v>
      </c>
      <c r="P157" s="41">
        <v>9122525</v>
      </c>
      <c r="Q157" s="41" t="s">
        <v>87</v>
      </c>
      <c r="R157" s="41" t="s">
        <v>88</v>
      </c>
      <c r="S157" s="91" t="s">
        <v>87</v>
      </c>
      <c r="T157" s="41" t="s">
        <v>89</v>
      </c>
    </row>
    <row r="158" hidden="1" customHeight="1" spans="1:20">
      <c r="A158" s="94">
        <v>46212</v>
      </c>
      <c r="B158" s="41">
        <v>2855215</v>
      </c>
      <c r="C158" s="41" t="s">
        <v>43</v>
      </c>
      <c r="D158" s="41" t="s">
        <v>314</v>
      </c>
      <c r="E158" s="41">
        <v>15536615928</v>
      </c>
      <c r="F158" s="41" t="s">
        <v>121</v>
      </c>
      <c r="H158" s="41" t="s">
        <v>84</v>
      </c>
      <c r="I158" s="41" t="s">
        <v>55</v>
      </c>
      <c r="J158" s="41">
        <v>479</v>
      </c>
      <c r="K158" s="41" t="s">
        <v>97</v>
      </c>
      <c r="O158" s="41" t="s">
        <v>121</v>
      </c>
      <c r="P158" s="41">
        <v>9122642</v>
      </c>
      <c r="Q158" s="41" t="s">
        <v>87</v>
      </c>
      <c r="R158" s="41" t="s">
        <v>88</v>
      </c>
      <c r="S158" s="91" t="s">
        <v>87</v>
      </c>
      <c r="T158" s="41" t="s">
        <v>89</v>
      </c>
    </row>
    <row r="159" hidden="1" customHeight="1" spans="1:20">
      <c r="A159" s="88">
        <v>46213</v>
      </c>
      <c r="B159" s="89"/>
      <c r="C159" s="89" t="s">
        <v>50</v>
      </c>
      <c r="D159" s="89"/>
      <c r="E159" s="89"/>
      <c r="F159" s="89"/>
      <c r="G159" s="89"/>
      <c r="H159" s="89"/>
      <c r="I159" s="89"/>
      <c r="J159" s="89">
        <v>52</v>
      </c>
      <c r="K159" s="89" t="s">
        <v>315</v>
      </c>
      <c r="L159" s="89"/>
      <c r="M159" s="89"/>
      <c r="N159" s="89"/>
      <c r="O159" s="89"/>
      <c r="P159" s="89"/>
      <c r="Q159" s="89"/>
      <c r="R159" s="89"/>
      <c r="S159" s="89"/>
      <c r="T159" s="89"/>
    </row>
    <row r="160" hidden="1" customHeight="1" spans="1:20">
      <c r="A160" s="88">
        <v>46213</v>
      </c>
      <c r="B160" s="89"/>
      <c r="C160" s="89" t="s">
        <v>48</v>
      </c>
      <c r="D160" s="89"/>
      <c r="E160" s="89"/>
      <c r="F160" s="89"/>
      <c r="G160" s="89"/>
      <c r="H160" s="89"/>
      <c r="I160" s="89"/>
      <c r="J160" s="89">
        <v>60</v>
      </c>
      <c r="K160" s="89" t="s">
        <v>315</v>
      </c>
      <c r="L160" s="89"/>
      <c r="M160" s="89"/>
      <c r="N160" s="89"/>
      <c r="O160" s="89"/>
      <c r="P160" s="89"/>
      <c r="Q160" s="89"/>
      <c r="R160" s="89"/>
      <c r="S160" s="89"/>
      <c r="T160" s="89"/>
    </row>
    <row r="161" hidden="1" customHeight="1" spans="1:20">
      <c r="A161" s="88">
        <v>46213</v>
      </c>
      <c r="B161" s="89"/>
      <c r="C161" s="89" t="s">
        <v>52</v>
      </c>
      <c r="D161" s="89"/>
      <c r="E161" s="89"/>
      <c r="F161" s="89"/>
      <c r="G161" s="89"/>
      <c r="H161" s="89"/>
      <c r="I161" s="89"/>
      <c r="J161" s="89">
        <v>9.9</v>
      </c>
      <c r="K161" s="89" t="s">
        <v>315</v>
      </c>
      <c r="L161" s="89"/>
      <c r="M161" s="89"/>
      <c r="N161" s="89"/>
      <c r="O161" s="89"/>
      <c r="P161" s="89"/>
      <c r="Q161" s="89"/>
      <c r="R161" s="89"/>
      <c r="S161" s="89"/>
      <c r="T161" s="89"/>
    </row>
    <row r="162" hidden="1" customHeight="1" spans="1:20">
      <c r="A162" s="88">
        <v>46213</v>
      </c>
      <c r="B162" s="89"/>
      <c r="C162" s="89" t="s">
        <v>53</v>
      </c>
      <c r="D162" s="89"/>
      <c r="E162" s="89"/>
      <c r="F162" s="89"/>
      <c r="G162" s="89"/>
      <c r="H162" s="89"/>
      <c r="I162" s="89"/>
      <c r="J162" s="89">
        <v>0</v>
      </c>
      <c r="K162" s="89" t="s">
        <v>315</v>
      </c>
      <c r="L162" s="89"/>
      <c r="M162" s="89"/>
      <c r="N162" s="89"/>
      <c r="O162" s="89"/>
      <c r="P162" s="89"/>
      <c r="Q162" s="89"/>
      <c r="R162" s="89"/>
      <c r="S162" s="89"/>
      <c r="T162" s="89"/>
    </row>
    <row r="163" hidden="1" customHeight="1" spans="1:20">
      <c r="A163" s="88">
        <v>46213</v>
      </c>
      <c r="B163" s="89"/>
      <c r="C163" s="89" t="s">
        <v>47</v>
      </c>
      <c r="D163" s="89"/>
      <c r="E163" s="89"/>
      <c r="F163" s="89"/>
      <c r="G163" s="89"/>
      <c r="H163" s="89"/>
      <c r="I163" s="89"/>
      <c r="J163" s="89">
        <v>0</v>
      </c>
      <c r="K163" s="89" t="s">
        <v>315</v>
      </c>
      <c r="L163" s="89"/>
      <c r="M163" s="89"/>
      <c r="N163" s="89"/>
      <c r="O163" s="89"/>
      <c r="P163" s="89"/>
      <c r="Q163" s="89"/>
      <c r="R163" s="89"/>
      <c r="S163" s="89"/>
      <c r="T163" s="89"/>
    </row>
    <row r="164" ht="30" hidden="1" customHeight="1" spans="1:20">
      <c r="A164" s="94">
        <v>46213</v>
      </c>
      <c r="B164" s="41">
        <v>2855218</v>
      </c>
      <c r="C164" s="41" t="s">
        <v>45</v>
      </c>
      <c r="D164" s="44" t="s">
        <v>316</v>
      </c>
      <c r="E164" s="44" t="s">
        <v>317</v>
      </c>
      <c r="F164" s="41" t="s">
        <v>91</v>
      </c>
      <c r="H164" s="41" t="s">
        <v>84</v>
      </c>
      <c r="I164" s="41" t="s">
        <v>55</v>
      </c>
      <c r="J164" s="41">
        <v>1800</v>
      </c>
      <c r="K164" s="41" t="s">
        <v>97</v>
      </c>
      <c r="O164" s="41" t="s">
        <v>273</v>
      </c>
      <c r="P164" s="41">
        <v>9310371</v>
      </c>
      <c r="Q164" s="41" t="s">
        <v>87</v>
      </c>
      <c r="R164" s="41" t="s">
        <v>88</v>
      </c>
      <c r="S164" s="91" t="s">
        <v>87</v>
      </c>
      <c r="T164" s="41" t="s">
        <v>89</v>
      </c>
    </row>
    <row r="165" ht="27" hidden="1" customHeight="1" spans="1:20">
      <c r="A165" s="94">
        <v>46213</v>
      </c>
      <c r="B165" s="41">
        <v>2855219</v>
      </c>
      <c r="C165" s="41" t="s">
        <v>43</v>
      </c>
      <c r="D165" s="41" t="s">
        <v>318</v>
      </c>
      <c r="E165" s="41">
        <v>18827557920</v>
      </c>
      <c r="F165" s="41" t="s">
        <v>121</v>
      </c>
      <c r="H165" s="41" t="s">
        <v>84</v>
      </c>
      <c r="I165" s="41" t="s">
        <v>55</v>
      </c>
      <c r="J165" s="41">
        <v>499</v>
      </c>
      <c r="K165" s="41" t="s">
        <v>97</v>
      </c>
      <c r="O165" s="41" t="s">
        <v>121</v>
      </c>
      <c r="P165" s="41">
        <v>9122643</v>
      </c>
      <c r="Q165" s="41" t="s">
        <v>87</v>
      </c>
      <c r="R165" s="41" t="s">
        <v>88</v>
      </c>
      <c r="S165" s="91" t="s">
        <v>87</v>
      </c>
      <c r="T165" s="41" t="s">
        <v>89</v>
      </c>
    </row>
    <row r="166" hidden="1" customHeight="1" spans="1:20">
      <c r="A166" s="94">
        <v>46213</v>
      </c>
      <c r="B166" s="41">
        <v>2923600</v>
      </c>
      <c r="C166" s="41" t="s">
        <v>45</v>
      </c>
      <c r="E166" s="41">
        <v>18271857008</v>
      </c>
      <c r="F166" s="41" t="s">
        <v>214</v>
      </c>
      <c r="H166" s="41" t="s">
        <v>84</v>
      </c>
      <c r="I166" s="41" t="s">
        <v>55</v>
      </c>
      <c r="J166" s="41">
        <v>2700</v>
      </c>
      <c r="K166" s="41" t="s">
        <v>94</v>
      </c>
      <c r="O166" s="41" t="s">
        <v>215</v>
      </c>
      <c r="P166" s="41">
        <v>9307921</v>
      </c>
      <c r="Q166" s="41" t="s">
        <v>87</v>
      </c>
      <c r="R166" s="41" t="s">
        <v>88</v>
      </c>
      <c r="S166" s="90" t="s">
        <v>88</v>
      </c>
      <c r="T166" s="41" t="s">
        <v>89</v>
      </c>
    </row>
    <row r="167" hidden="1" customHeight="1" spans="1:20">
      <c r="A167" s="94">
        <v>46213</v>
      </c>
      <c r="B167" s="41">
        <v>2955221</v>
      </c>
      <c r="C167" s="41" t="s">
        <v>43</v>
      </c>
      <c r="D167" s="41" t="s">
        <v>319</v>
      </c>
      <c r="E167" s="41">
        <v>18986078682</v>
      </c>
      <c r="F167" s="41" t="s">
        <v>131</v>
      </c>
      <c r="H167" s="90" t="s">
        <v>320</v>
      </c>
      <c r="J167" s="41">
        <v>296</v>
      </c>
      <c r="K167" s="41" t="s">
        <v>85</v>
      </c>
      <c r="O167" s="91" t="s">
        <v>321</v>
      </c>
      <c r="P167" s="41">
        <v>9122527</v>
      </c>
      <c r="Q167" s="41" t="s">
        <v>87</v>
      </c>
      <c r="R167" s="41" t="s">
        <v>88</v>
      </c>
      <c r="S167" s="91" t="s">
        <v>87</v>
      </c>
      <c r="T167" s="41" t="s">
        <v>89</v>
      </c>
    </row>
    <row r="168" hidden="1" customHeight="1" spans="1:20">
      <c r="A168" s="94">
        <v>46213</v>
      </c>
      <c r="B168" s="41">
        <v>2855220</v>
      </c>
      <c r="C168" s="41" t="s">
        <v>45</v>
      </c>
      <c r="D168" s="41" t="s">
        <v>322</v>
      </c>
      <c r="E168" s="41">
        <v>18696183920</v>
      </c>
      <c r="F168" s="41" t="s">
        <v>91</v>
      </c>
      <c r="H168" s="41" t="s">
        <v>84</v>
      </c>
      <c r="I168" s="41" t="s">
        <v>55</v>
      </c>
      <c r="J168" s="41">
        <v>1000</v>
      </c>
      <c r="K168" s="41" t="s">
        <v>97</v>
      </c>
      <c r="O168" s="41" t="s">
        <v>323</v>
      </c>
      <c r="P168" s="41">
        <v>9310372</v>
      </c>
      <c r="Q168" s="41" t="s">
        <v>87</v>
      </c>
      <c r="R168" s="41" t="s">
        <v>88</v>
      </c>
      <c r="S168" s="91" t="s">
        <v>87</v>
      </c>
      <c r="T168" s="41" t="s">
        <v>89</v>
      </c>
    </row>
    <row r="169" hidden="1" customHeight="1" spans="1:20">
      <c r="A169" s="94">
        <v>46213</v>
      </c>
      <c r="B169" s="41">
        <v>2855220</v>
      </c>
      <c r="C169" s="41" t="s">
        <v>45</v>
      </c>
      <c r="D169" s="41" t="s">
        <v>324</v>
      </c>
      <c r="E169" s="41">
        <v>19986942596</v>
      </c>
      <c r="F169" s="41" t="s">
        <v>91</v>
      </c>
      <c r="H169" s="41" t="s">
        <v>84</v>
      </c>
      <c r="I169" s="41" t="s">
        <v>56</v>
      </c>
      <c r="J169" s="41">
        <v>1000</v>
      </c>
      <c r="K169" s="41" t="s">
        <v>97</v>
      </c>
      <c r="O169" s="41" t="s">
        <v>323</v>
      </c>
      <c r="P169" s="41">
        <v>9310372</v>
      </c>
      <c r="Q169" s="41" t="s">
        <v>87</v>
      </c>
      <c r="R169" s="41" t="s">
        <v>88</v>
      </c>
      <c r="S169" s="91" t="s">
        <v>87</v>
      </c>
      <c r="T169" s="41" t="s">
        <v>89</v>
      </c>
    </row>
    <row r="170" ht="35" hidden="1" customHeight="1" spans="1:20">
      <c r="A170" s="94">
        <v>46213</v>
      </c>
      <c r="B170" s="41">
        <v>2855221</v>
      </c>
      <c r="C170" s="41" t="s">
        <v>45</v>
      </c>
      <c r="D170" s="41" t="s">
        <v>325</v>
      </c>
      <c r="E170" s="41">
        <v>15972087711</v>
      </c>
      <c r="F170" s="41" t="s">
        <v>91</v>
      </c>
      <c r="H170" s="41" t="s">
        <v>84</v>
      </c>
      <c r="I170" s="41" t="s">
        <v>55</v>
      </c>
      <c r="J170" s="41">
        <v>500</v>
      </c>
      <c r="K170" s="41" t="s">
        <v>97</v>
      </c>
      <c r="O170" s="44" t="s">
        <v>326</v>
      </c>
      <c r="Q170" s="41" t="s">
        <v>87</v>
      </c>
      <c r="R170" s="41" t="s">
        <v>88</v>
      </c>
      <c r="S170" s="91" t="s">
        <v>87</v>
      </c>
      <c r="T170" s="41" t="s">
        <v>89</v>
      </c>
    </row>
    <row r="171" ht="29" hidden="1" customHeight="1" spans="1:20">
      <c r="A171" s="94">
        <v>46213</v>
      </c>
      <c r="B171" s="41">
        <v>2955222</v>
      </c>
      <c r="C171" s="41" t="s">
        <v>45</v>
      </c>
      <c r="D171" s="41" t="s">
        <v>327</v>
      </c>
      <c r="E171" s="41">
        <v>15377508006</v>
      </c>
      <c r="F171" s="41" t="s">
        <v>91</v>
      </c>
      <c r="H171" s="41" t="s">
        <v>84</v>
      </c>
      <c r="I171" s="41" t="s">
        <v>56</v>
      </c>
      <c r="J171" s="41">
        <v>2980</v>
      </c>
      <c r="K171" s="41" t="s">
        <v>94</v>
      </c>
      <c r="O171" s="41" t="s">
        <v>328</v>
      </c>
      <c r="P171" s="41">
        <v>9307922</v>
      </c>
      <c r="Q171" s="41" t="s">
        <v>87</v>
      </c>
      <c r="R171" s="41" t="s">
        <v>88</v>
      </c>
      <c r="S171" s="90" t="s">
        <v>88</v>
      </c>
    </row>
    <row r="172" ht="29" hidden="1" customHeight="1" spans="1:20">
      <c r="A172" s="94">
        <v>46213</v>
      </c>
      <c r="B172" s="41">
        <v>3355881</v>
      </c>
      <c r="C172" s="41" t="s">
        <v>43</v>
      </c>
      <c r="D172" s="41" t="s">
        <v>329</v>
      </c>
      <c r="E172" s="41">
        <v>19873019973</v>
      </c>
      <c r="F172" s="41" t="s">
        <v>115</v>
      </c>
      <c r="H172" s="41" t="s">
        <v>84</v>
      </c>
      <c r="I172" s="41" t="s">
        <v>55</v>
      </c>
      <c r="J172" s="41">
        <v>2980</v>
      </c>
      <c r="K172" s="41" t="s">
        <v>85</v>
      </c>
      <c r="O172" s="41" t="s">
        <v>330</v>
      </c>
      <c r="P172" s="41">
        <v>9122528</v>
      </c>
      <c r="Q172" s="41" t="s">
        <v>87</v>
      </c>
      <c r="R172" s="41" t="s">
        <v>88</v>
      </c>
      <c r="S172" s="91" t="s">
        <v>87</v>
      </c>
      <c r="T172" s="41" t="s">
        <v>89</v>
      </c>
    </row>
    <row r="173" ht="28" hidden="1" customHeight="1" spans="1:20">
      <c r="A173" s="94">
        <v>46213</v>
      </c>
      <c r="B173" s="41">
        <v>3355882</v>
      </c>
      <c r="C173" s="41" t="s">
        <v>45</v>
      </c>
      <c r="D173" s="41" t="s">
        <v>331</v>
      </c>
      <c r="E173" s="41">
        <v>18502707461</v>
      </c>
      <c r="F173" s="41" t="s">
        <v>91</v>
      </c>
      <c r="H173" s="41" t="s">
        <v>84</v>
      </c>
      <c r="I173" s="41" t="s">
        <v>55</v>
      </c>
      <c r="J173" s="41">
        <v>900</v>
      </c>
      <c r="K173" s="41" t="s">
        <v>85</v>
      </c>
      <c r="O173" s="41" t="s">
        <v>332</v>
      </c>
      <c r="P173" s="41">
        <v>9307923</v>
      </c>
      <c r="Q173" s="41" t="s">
        <v>87</v>
      </c>
      <c r="R173" s="41" t="s">
        <v>88</v>
      </c>
      <c r="S173" s="91" t="s">
        <v>87</v>
      </c>
      <c r="T173" s="41" t="s">
        <v>89</v>
      </c>
    </row>
    <row r="174" ht="29" hidden="1" customHeight="1" spans="1:20">
      <c r="A174" s="94">
        <v>46213</v>
      </c>
      <c r="B174" s="41">
        <v>2855222</v>
      </c>
      <c r="C174" s="41" t="s">
        <v>45</v>
      </c>
      <c r="D174" s="41" t="s">
        <v>333</v>
      </c>
      <c r="E174" s="41">
        <v>18717195517</v>
      </c>
      <c r="F174" s="41" t="s">
        <v>91</v>
      </c>
      <c r="H174" s="41" t="s">
        <v>84</v>
      </c>
      <c r="I174" s="41" t="s">
        <v>55</v>
      </c>
      <c r="J174" s="41">
        <v>1000</v>
      </c>
      <c r="K174" s="41" t="s">
        <v>118</v>
      </c>
      <c r="O174" s="41" t="s">
        <v>334</v>
      </c>
      <c r="P174" s="41">
        <v>9310373</v>
      </c>
      <c r="Q174" s="41" t="s">
        <v>87</v>
      </c>
      <c r="R174" s="41" t="s">
        <v>88</v>
      </c>
      <c r="S174" s="91" t="s">
        <v>87</v>
      </c>
      <c r="T174" s="41" t="s">
        <v>89</v>
      </c>
    </row>
    <row r="175" ht="30" hidden="1" customHeight="1" spans="1:20">
      <c r="A175" s="94">
        <v>46213</v>
      </c>
      <c r="B175" s="41">
        <v>3355883</v>
      </c>
      <c r="C175" s="41" t="s">
        <v>45</v>
      </c>
      <c r="D175" s="44" t="s">
        <v>335</v>
      </c>
      <c r="E175" s="41">
        <v>15927610717</v>
      </c>
      <c r="F175" s="41" t="s">
        <v>91</v>
      </c>
      <c r="H175" s="41" t="s">
        <v>84</v>
      </c>
      <c r="I175" s="41" t="s">
        <v>55</v>
      </c>
      <c r="J175" s="41">
        <v>2000</v>
      </c>
      <c r="K175" s="41" t="s">
        <v>85</v>
      </c>
      <c r="O175" s="41" t="s">
        <v>336</v>
      </c>
      <c r="P175" s="41">
        <v>9307924</v>
      </c>
      <c r="Q175" s="41" t="s">
        <v>87</v>
      </c>
      <c r="R175" s="41" t="s">
        <v>88</v>
      </c>
      <c r="S175" s="91" t="s">
        <v>87</v>
      </c>
      <c r="T175" s="41" t="s">
        <v>89</v>
      </c>
    </row>
    <row r="176" hidden="1" customHeight="1" spans="1:20">
      <c r="A176" s="94">
        <v>46213</v>
      </c>
      <c r="C176" s="41" t="s">
        <v>44</v>
      </c>
      <c r="J176" s="41">
        <v>1509</v>
      </c>
      <c r="K176" s="41" t="s">
        <v>337</v>
      </c>
    </row>
    <row r="177" hidden="1" customHeight="1" spans="1:21">
      <c r="A177" s="94">
        <v>46213</v>
      </c>
      <c r="B177" s="41">
        <v>2855225</v>
      </c>
      <c r="C177" s="41" t="s">
        <v>45</v>
      </c>
      <c r="D177" s="41" t="s">
        <v>338</v>
      </c>
      <c r="E177" s="41">
        <v>18356014884</v>
      </c>
      <c r="F177" s="41" t="s">
        <v>83</v>
      </c>
      <c r="H177" s="41" t="s">
        <v>84</v>
      </c>
      <c r="I177" s="41" t="s">
        <v>55</v>
      </c>
      <c r="J177" s="41">
        <v>1500</v>
      </c>
      <c r="K177" s="41" t="s">
        <v>339</v>
      </c>
      <c r="O177" s="41" t="s">
        <v>340</v>
      </c>
      <c r="P177" s="41">
        <v>9310374</v>
      </c>
      <c r="Q177" s="41" t="s">
        <v>87</v>
      </c>
      <c r="R177" s="41" t="s">
        <v>88</v>
      </c>
      <c r="S177" s="91" t="s">
        <v>87</v>
      </c>
      <c r="T177" s="41" t="s">
        <v>89</v>
      </c>
    </row>
    <row r="178" ht="27" hidden="1" customHeight="1" spans="1:21">
      <c r="A178" s="88">
        <v>46214</v>
      </c>
      <c r="B178" s="89"/>
      <c r="C178" s="89" t="s">
        <v>50</v>
      </c>
      <c r="D178" s="89"/>
      <c r="E178" s="89"/>
      <c r="F178" s="89"/>
      <c r="G178" s="89"/>
      <c r="H178" s="89"/>
      <c r="I178" s="89"/>
      <c r="J178" s="89">
        <v>6</v>
      </c>
      <c r="K178" s="89" t="s">
        <v>230</v>
      </c>
      <c r="L178" s="89"/>
      <c r="M178" s="89"/>
      <c r="N178" s="89"/>
      <c r="O178" s="89"/>
      <c r="P178" s="89"/>
      <c r="Q178" s="89"/>
      <c r="R178" s="89"/>
      <c r="S178" s="89"/>
      <c r="T178" s="89"/>
    </row>
    <row r="179" ht="30" hidden="1" customHeight="1" spans="1:21">
      <c r="A179" s="88">
        <v>46214</v>
      </c>
      <c r="B179" s="89"/>
      <c r="C179" s="89" t="s">
        <v>48</v>
      </c>
      <c r="D179" s="89"/>
      <c r="E179" s="89"/>
      <c r="F179" s="89"/>
      <c r="G179" s="89"/>
      <c r="H179" s="89"/>
      <c r="I179" s="89"/>
      <c r="J179" s="95">
        <v>140</v>
      </c>
      <c r="K179" s="89" t="s">
        <v>230</v>
      </c>
      <c r="L179" s="89"/>
      <c r="M179" s="89"/>
      <c r="N179" s="89"/>
      <c r="O179" s="89"/>
      <c r="P179" s="89"/>
      <c r="Q179" s="89"/>
      <c r="R179" s="89"/>
      <c r="S179" s="89"/>
      <c r="T179" s="89"/>
    </row>
    <row r="180" ht="36" hidden="1" customHeight="1" spans="1:21">
      <c r="A180" s="88">
        <v>46214</v>
      </c>
      <c r="B180" s="89"/>
      <c r="C180" s="89" t="s">
        <v>48</v>
      </c>
      <c r="D180" s="89"/>
      <c r="E180" s="89"/>
      <c r="F180" s="89"/>
      <c r="G180" s="89"/>
      <c r="H180" s="89"/>
      <c r="I180" s="89" t="s">
        <v>58</v>
      </c>
      <c r="J180" s="89">
        <v>10</v>
      </c>
      <c r="K180" s="89"/>
      <c r="L180" s="89"/>
      <c r="M180" s="89"/>
      <c r="N180" s="89"/>
      <c r="O180" s="89"/>
      <c r="P180" s="89"/>
      <c r="Q180" s="89"/>
      <c r="R180" s="89"/>
      <c r="S180" s="89"/>
      <c r="T180" s="89"/>
    </row>
    <row r="181" ht="36" hidden="1" customHeight="1" spans="1:21">
      <c r="A181" s="88">
        <v>46214</v>
      </c>
      <c r="B181" s="89"/>
      <c r="C181" s="89" t="s">
        <v>52</v>
      </c>
      <c r="D181" s="89"/>
      <c r="E181" s="89"/>
      <c r="F181" s="89"/>
      <c r="G181" s="89"/>
      <c r="H181" s="89"/>
      <c r="I181" s="89"/>
      <c r="J181" s="89">
        <v>83.5</v>
      </c>
      <c r="K181" s="89" t="s">
        <v>230</v>
      </c>
      <c r="L181" s="89"/>
      <c r="M181" s="89"/>
      <c r="N181" s="89"/>
      <c r="O181" s="89"/>
      <c r="P181" s="89"/>
      <c r="Q181" s="89"/>
      <c r="R181" s="89"/>
      <c r="S181" s="89"/>
      <c r="T181" s="89"/>
    </row>
    <row r="182" ht="37" hidden="1" customHeight="1" spans="1:21">
      <c r="A182" s="88">
        <v>46214</v>
      </c>
      <c r="B182" s="89"/>
      <c r="C182" s="89" t="s">
        <v>53</v>
      </c>
      <c r="D182" s="89"/>
      <c r="E182" s="89"/>
      <c r="F182" s="89"/>
      <c r="G182" s="89"/>
      <c r="H182" s="89"/>
      <c r="I182" s="89"/>
      <c r="J182" s="89">
        <v>0</v>
      </c>
      <c r="K182" s="89" t="s">
        <v>230</v>
      </c>
      <c r="L182" s="89"/>
      <c r="M182" s="89"/>
      <c r="N182" s="89"/>
      <c r="O182" s="89"/>
      <c r="P182" s="89"/>
      <c r="Q182" s="89"/>
      <c r="R182" s="89"/>
      <c r="S182" s="89"/>
      <c r="T182" s="89"/>
    </row>
    <row r="183" hidden="1" customHeight="1" spans="1:21">
      <c r="A183" s="88">
        <v>46214</v>
      </c>
      <c r="B183" s="89"/>
      <c r="C183" s="89" t="s">
        <v>47</v>
      </c>
      <c r="D183" s="89"/>
      <c r="E183" s="89"/>
      <c r="F183" s="89"/>
      <c r="G183" s="89"/>
      <c r="H183" s="89"/>
      <c r="I183" s="89"/>
      <c r="J183" s="89">
        <v>0</v>
      </c>
      <c r="K183" s="89" t="s">
        <v>230</v>
      </c>
      <c r="L183" s="89"/>
      <c r="M183" s="89"/>
      <c r="N183" s="89"/>
      <c r="O183" s="89"/>
      <c r="P183" s="89"/>
      <c r="Q183" s="89"/>
      <c r="R183" s="89"/>
      <c r="S183" s="89"/>
      <c r="T183" s="89"/>
    </row>
    <row r="184" hidden="1" customHeight="1" spans="1:21">
      <c r="A184" s="94">
        <v>46214</v>
      </c>
      <c r="C184" s="41" t="s">
        <v>45</v>
      </c>
      <c r="J184" s="41">
        <v>536</v>
      </c>
      <c r="K184" s="41" t="s">
        <v>220</v>
      </c>
    </row>
    <row r="185" ht="33" hidden="1" customHeight="1" spans="1:21">
      <c r="A185" s="94">
        <v>46214</v>
      </c>
      <c r="B185" s="41">
        <v>3355887</v>
      </c>
      <c r="C185" s="41" t="s">
        <v>43</v>
      </c>
      <c r="D185" s="44" t="s">
        <v>341</v>
      </c>
      <c r="E185" s="41">
        <v>18963981986</v>
      </c>
      <c r="F185" s="41" t="s">
        <v>91</v>
      </c>
      <c r="H185" s="41" t="s">
        <v>84</v>
      </c>
      <c r="I185" s="41" t="s">
        <v>55</v>
      </c>
      <c r="J185" s="41">
        <v>2980</v>
      </c>
      <c r="K185" s="41" t="s">
        <v>97</v>
      </c>
      <c r="O185" s="41" t="s">
        <v>342</v>
      </c>
      <c r="P185" s="41">
        <v>9122531</v>
      </c>
      <c r="Q185" s="41" t="s">
        <v>87</v>
      </c>
      <c r="R185" s="41" t="s">
        <v>88</v>
      </c>
      <c r="S185" s="91" t="s">
        <v>87</v>
      </c>
      <c r="T185" s="41" t="s">
        <v>89</v>
      </c>
    </row>
    <row r="186" ht="27" hidden="1" customHeight="1" spans="1:21">
      <c r="A186" s="94">
        <v>46214</v>
      </c>
      <c r="B186" s="41">
        <v>3355889</v>
      </c>
      <c r="C186" s="41" t="s">
        <v>43</v>
      </c>
      <c r="D186" s="41" t="s">
        <v>343</v>
      </c>
      <c r="E186" s="41">
        <v>18827458846</v>
      </c>
      <c r="F186" s="41" t="s">
        <v>115</v>
      </c>
      <c r="H186" s="41" t="s">
        <v>137</v>
      </c>
      <c r="J186" s="41">
        <v>300</v>
      </c>
      <c r="K186" s="41" t="s">
        <v>85</v>
      </c>
      <c r="O186" s="41" t="s">
        <v>344</v>
      </c>
    </row>
    <row r="187" hidden="1" customHeight="1" spans="1:21">
      <c r="A187" s="94">
        <v>46214</v>
      </c>
      <c r="B187" s="41">
        <v>3355886</v>
      </c>
      <c r="C187" s="41" t="s">
        <v>45</v>
      </c>
      <c r="D187" s="41" t="s">
        <v>345</v>
      </c>
      <c r="E187" s="41">
        <v>18672381989</v>
      </c>
      <c r="F187" s="41" t="s">
        <v>91</v>
      </c>
      <c r="H187" s="41" t="s">
        <v>84</v>
      </c>
      <c r="I187" s="41" t="s">
        <v>55</v>
      </c>
      <c r="J187" s="41">
        <v>1800</v>
      </c>
      <c r="K187" s="41" t="s">
        <v>85</v>
      </c>
      <c r="O187" s="41" t="s">
        <v>346</v>
      </c>
      <c r="P187" s="41">
        <v>9307925</v>
      </c>
      <c r="Q187" s="41" t="s">
        <v>87</v>
      </c>
      <c r="R187" s="41" t="s">
        <v>88</v>
      </c>
      <c r="S187" s="91" t="s">
        <v>87</v>
      </c>
      <c r="T187" s="41" t="s">
        <v>89</v>
      </c>
    </row>
    <row r="188" ht="27" hidden="1" customHeight="1" spans="1:21">
      <c r="A188" s="94">
        <v>46214</v>
      </c>
      <c r="B188" s="26">
        <v>3355888</v>
      </c>
      <c r="C188" s="26" t="s">
        <v>45</v>
      </c>
      <c r="D188" s="29" t="s">
        <v>347</v>
      </c>
      <c r="E188" s="26">
        <v>17671465669</v>
      </c>
      <c r="F188" s="26" t="s">
        <v>83</v>
      </c>
      <c r="G188" s="26"/>
      <c r="H188" s="41" t="s">
        <v>84</v>
      </c>
      <c r="I188" s="41" t="s">
        <v>55</v>
      </c>
      <c r="J188" s="26">
        <v>1500</v>
      </c>
      <c r="K188" s="41" t="s">
        <v>348</v>
      </c>
      <c r="L188" s="26"/>
      <c r="M188" s="26"/>
      <c r="N188" s="26"/>
      <c r="O188" s="41" t="s">
        <v>349</v>
      </c>
      <c r="P188" s="44">
        <v>9307926</v>
      </c>
      <c r="Q188" s="41" t="s">
        <v>87</v>
      </c>
      <c r="R188" s="41" t="s">
        <v>88</v>
      </c>
      <c r="S188" s="91" t="s">
        <v>87</v>
      </c>
      <c r="T188" s="41" t="s">
        <v>89</v>
      </c>
    </row>
    <row r="189" hidden="1" customHeight="1" spans="1:21">
      <c r="A189" s="94">
        <v>46214</v>
      </c>
      <c r="B189" s="44">
        <v>3355884</v>
      </c>
      <c r="C189" s="41" t="s">
        <v>43</v>
      </c>
      <c r="D189" s="44" t="s">
        <v>350</v>
      </c>
      <c r="E189" s="41">
        <v>15610155246</v>
      </c>
      <c r="F189" s="44" t="s">
        <v>131</v>
      </c>
      <c r="H189" s="96" t="s">
        <v>153</v>
      </c>
      <c r="J189" s="44">
        <v>284.05</v>
      </c>
      <c r="K189" s="41" t="s">
        <v>118</v>
      </c>
      <c r="L189" s="44"/>
      <c r="N189" s="44"/>
      <c r="O189" s="41" t="s">
        <v>131</v>
      </c>
      <c r="P189" s="44">
        <v>9122529</v>
      </c>
      <c r="Q189" s="41" t="s">
        <v>87</v>
      </c>
      <c r="R189" s="41" t="s">
        <v>88</v>
      </c>
      <c r="S189" s="91" t="s">
        <v>87</v>
      </c>
      <c r="T189" s="41" t="s">
        <v>89</v>
      </c>
      <c r="U189" s="26"/>
    </row>
    <row r="190" ht="32" hidden="1" customHeight="1" spans="1:21">
      <c r="A190" s="94">
        <v>46214</v>
      </c>
      <c r="B190" s="29">
        <v>3355885</v>
      </c>
      <c r="C190" s="26" t="s">
        <v>43</v>
      </c>
      <c r="D190" s="29" t="s">
        <v>351</v>
      </c>
      <c r="E190" s="26">
        <v>13006350324</v>
      </c>
      <c r="F190" s="26" t="s">
        <v>121</v>
      </c>
      <c r="G190" s="26"/>
      <c r="H190" s="96" t="s">
        <v>153</v>
      </c>
      <c r="I190" s="26"/>
      <c r="J190" s="26">
        <v>479</v>
      </c>
      <c r="K190" s="26" t="s">
        <v>118</v>
      </c>
      <c r="L190" s="26"/>
      <c r="M190" s="26"/>
      <c r="N190" s="26"/>
      <c r="O190" s="41" t="s">
        <v>121</v>
      </c>
      <c r="P190" s="29">
        <v>9122530</v>
      </c>
      <c r="Q190" s="41" t="s">
        <v>87</v>
      </c>
      <c r="R190" s="41" t="s">
        <v>88</v>
      </c>
      <c r="S190" s="91" t="s">
        <v>87</v>
      </c>
      <c r="T190" s="41" t="s">
        <v>89</v>
      </c>
      <c r="U190" s="26"/>
    </row>
    <row r="191" ht="28" hidden="1" customHeight="1" spans="1:21">
      <c r="A191" s="94">
        <v>46214</v>
      </c>
      <c r="B191" s="44"/>
      <c r="C191" s="41" t="s">
        <v>44</v>
      </c>
      <c r="D191" s="44"/>
      <c r="F191" s="26"/>
      <c r="H191" s="26"/>
      <c r="I191" s="26"/>
      <c r="J191" s="44">
        <v>5618</v>
      </c>
      <c r="K191" s="41" t="s">
        <v>352</v>
      </c>
      <c r="L191" s="44"/>
      <c r="N191" s="44"/>
      <c r="P191" s="44"/>
      <c r="Q191" s="26"/>
      <c r="R191" s="26"/>
      <c r="S191" s="26"/>
      <c r="T191" s="26"/>
      <c r="U191" s="26"/>
    </row>
    <row r="192" ht="31" hidden="1" customHeight="1" spans="1:21">
      <c r="A192" s="94">
        <v>46214</v>
      </c>
      <c r="B192" s="44">
        <v>2955223</v>
      </c>
      <c r="C192" s="41" t="s">
        <v>43</v>
      </c>
      <c r="D192" s="44" t="s">
        <v>353</v>
      </c>
      <c r="E192" s="44" t="s">
        <v>354</v>
      </c>
      <c r="F192" s="26" t="s">
        <v>121</v>
      </c>
      <c r="H192" s="41" t="s">
        <v>84</v>
      </c>
      <c r="I192" s="41" t="s">
        <v>55</v>
      </c>
      <c r="J192" s="44">
        <v>960</v>
      </c>
      <c r="K192" s="41" t="s">
        <v>85</v>
      </c>
      <c r="L192" s="44"/>
      <c r="N192" s="44"/>
      <c r="O192" s="41" t="s">
        <v>355</v>
      </c>
      <c r="P192" s="44">
        <v>9122532</v>
      </c>
      <c r="Q192" s="41" t="s">
        <v>87</v>
      </c>
      <c r="R192" s="41" t="s">
        <v>88</v>
      </c>
      <c r="S192" s="91" t="s">
        <v>87</v>
      </c>
      <c r="T192" s="41" t="s">
        <v>89</v>
      </c>
      <c r="U192" s="26"/>
    </row>
    <row r="193" ht="31" hidden="1" customHeight="1" spans="1:21">
      <c r="A193" s="94">
        <v>46214</v>
      </c>
      <c r="B193" s="44">
        <v>2955224</v>
      </c>
      <c r="C193" s="41" t="s">
        <v>45</v>
      </c>
      <c r="D193" s="44" t="s">
        <v>356</v>
      </c>
      <c r="E193" s="41">
        <v>1778651354</v>
      </c>
      <c r="F193" s="26" t="s">
        <v>83</v>
      </c>
      <c r="H193" s="41" t="s">
        <v>84</v>
      </c>
      <c r="I193" s="41" t="s">
        <v>55</v>
      </c>
      <c r="J193" s="44">
        <v>1400</v>
      </c>
      <c r="K193" s="41" t="s">
        <v>85</v>
      </c>
      <c r="L193" s="44"/>
      <c r="N193" s="44"/>
      <c r="O193" s="41" t="s">
        <v>357</v>
      </c>
      <c r="P193" s="44">
        <v>9307927</v>
      </c>
      <c r="Q193" s="41" t="s">
        <v>87</v>
      </c>
      <c r="R193" s="41" t="s">
        <v>88</v>
      </c>
      <c r="S193" s="91" t="s">
        <v>87</v>
      </c>
      <c r="T193" s="41" t="s">
        <v>89</v>
      </c>
      <c r="U193" s="26"/>
    </row>
    <row r="194" hidden="1" customHeight="1" spans="1:21">
      <c r="A194" s="94">
        <v>46214</v>
      </c>
      <c r="B194" s="44">
        <v>2855224</v>
      </c>
      <c r="C194" s="41" t="s">
        <v>43</v>
      </c>
      <c r="D194" s="44" t="s">
        <v>358</v>
      </c>
      <c r="E194" s="41">
        <v>13667164176</v>
      </c>
      <c r="F194" s="26" t="s">
        <v>121</v>
      </c>
      <c r="H194" s="97" t="s">
        <v>153</v>
      </c>
      <c r="I194" s="26"/>
      <c r="J194" s="44">
        <v>481</v>
      </c>
      <c r="K194" s="41" t="s">
        <v>118</v>
      </c>
      <c r="L194" s="44"/>
      <c r="N194" s="44"/>
      <c r="O194" s="41" t="s">
        <v>359</v>
      </c>
      <c r="P194" s="44">
        <v>9122579</v>
      </c>
      <c r="Q194" s="41" t="s">
        <v>87</v>
      </c>
      <c r="R194" s="41" t="s">
        <v>88</v>
      </c>
      <c r="S194" s="91" t="s">
        <v>87</v>
      </c>
      <c r="T194" s="41" t="s">
        <v>89</v>
      </c>
      <c r="U194" s="26"/>
    </row>
    <row r="195" hidden="1" customHeight="1" spans="1:21">
      <c r="A195" s="94">
        <v>46214</v>
      </c>
      <c r="B195" s="44">
        <v>2855231</v>
      </c>
      <c r="C195" s="41" t="s">
        <v>43</v>
      </c>
      <c r="D195" s="44" t="s">
        <v>360</v>
      </c>
      <c r="E195" s="41">
        <v>15827729829</v>
      </c>
      <c r="F195" s="26" t="s">
        <v>83</v>
      </c>
      <c r="H195" s="41" t="s">
        <v>84</v>
      </c>
      <c r="I195" s="41" t="s">
        <v>55</v>
      </c>
      <c r="J195" s="44">
        <v>2400</v>
      </c>
      <c r="K195" s="41" t="s">
        <v>97</v>
      </c>
      <c r="L195" s="44"/>
      <c r="N195" s="44"/>
      <c r="O195" s="41" t="s">
        <v>361</v>
      </c>
      <c r="P195" s="44">
        <v>9122582</v>
      </c>
      <c r="Q195" s="41" t="s">
        <v>87</v>
      </c>
      <c r="R195" s="41" t="s">
        <v>88</v>
      </c>
      <c r="S195" s="91" t="s">
        <v>87</v>
      </c>
      <c r="T195" s="41" t="s">
        <v>89</v>
      </c>
      <c r="U195" s="26"/>
    </row>
    <row r="196" hidden="1" customHeight="1" spans="1:21">
      <c r="A196" s="94">
        <v>46214</v>
      </c>
      <c r="B196" s="44">
        <v>2460938</v>
      </c>
      <c r="C196" s="41" t="s">
        <v>43</v>
      </c>
      <c r="D196" s="44" t="s">
        <v>362</v>
      </c>
      <c r="E196" s="41">
        <v>13667153353</v>
      </c>
      <c r="F196" s="26" t="s">
        <v>121</v>
      </c>
      <c r="H196" s="41" t="s">
        <v>84</v>
      </c>
      <c r="I196" s="41" t="s">
        <v>55</v>
      </c>
      <c r="J196" s="44">
        <v>500</v>
      </c>
      <c r="K196" s="41" t="s">
        <v>97</v>
      </c>
      <c r="L196" s="44"/>
      <c r="N196" s="44"/>
      <c r="O196" s="41" t="s">
        <v>121</v>
      </c>
      <c r="P196" s="44">
        <v>9122533</v>
      </c>
      <c r="Q196" s="41" t="s">
        <v>87</v>
      </c>
      <c r="R196" s="41" t="s">
        <v>88</v>
      </c>
      <c r="S196" s="91" t="s">
        <v>87</v>
      </c>
      <c r="T196" s="41" t="s">
        <v>89</v>
      </c>
      <c r="U196" s="26"/>
    </row>
    <row r="197" hidden="1" customHeight="1" spans="1:21">
      <c r="A197" s="94">
        <v>46214</v>
      </c>
      <c r="B197" s="26">
        <v>2460939</v>
      </c>
      <c r="C197" s="26" t="s">
        <v>43</v>
      </c>
      <c r="D197" s="26" t="s">
        <v>363</v>
      </c>
      <c r="E197" s="143" t="s">
        <v>364</v>
      </c>
      <c r="F197" s="26" t="s">
        <v>121</v>
      </c>
      <c r="G197" s="26"/>
      <c r="H197" s="41" t="s">
        <v>84</v>
      </c>
      <c r="I197" s="41" t="s">
        <v>55</v>
      </c>
      <c r="J197" s="26">
        <v>499</v>
      </c>
      <c r="K197" s="26" t="s">
        <v>133</v>
      </c>
      <c r="L197" s="26"/>
      <c r="M197" s="26"/>
      <c r="N197" s="26"/>
      <c r="O197" s="26" t="s">
        <v>365</v>
      </c>
      <c r="P197" s="26">
        <v>9122534</v>
      </c>
      <c r="Q197" s="41" t="s">
        <v>87</v>
      </c>
      <c r="R197" s="41" t="s">
        <v>88</v>
      </c>
      <c r="S197" s="91" t="s">
        <v>87</v>
      </c>
      <c r="T197" s="41" t="s">
        <v>89</v>
      </c>
    </row>
    <row r="198" hidden="1" customHeight="1" spans="1:21">
      <c r="A198" s="94">
        <v>46214</v>
      </c>
      <c r="B198" s="26">
        <v>2855226</v>
      </c>
      <c r="C198" s="26" t="s">
        <v>43</v>
      </c>
      <c r="D198" s="26" t="s">
        <v>366</v>
      </c>
      <c r="E198" s="26">
        <v>18108645863</v>
      </c>
      <c r="F198" s="26" t="s">
        <v>131</v>
      </c>
      <c r="G198" s="26"/>
      <c r="H198" s="97" t="s">
        <v>153</v>
      </c>
      <c r="I198" s="26"/>
      <c r="J198" s="26">
        <v>285</v>
      </c>
      <c r="K198" s="26" t="s">
        <v>118</v>
      </c>
      <c r="L198" s="26"/>
      <c r="M198" s="26"/>
      <c r="N198" s="26"/>
      <c r="O198" s="26" t="s">
        <v>367</v>
      </c>
      <c r="P198" s="26">
        <v>9122580</v>
      </c>
      <c r="Q198" s="41" t="s">
        <v>87</v>
      </c>
      <c r="R198" s="41" t="s">
        <v>88</v>
      </c>
      <c r="S198" s="91" t="s">
        <v>87</v>
      </c>
      <c r="T198" s="41" t="s">
        <v>89</v>
      </c>
    </row>
    <row r="199" ht="29" hidden="1" customHeight="1" spans="1:21">
      <c r="A199" s="94">
        <v>46214</v>
      </c>
      <c r="B199" s="41">
        <v>3355891</v>
      </c>
      <c r="C199" s="41" t="s">
        <v>45</v>
      </c>
      <c r="D199" s="44" t="s">
        <v>368</v>
      </c>
      <c r="E199" s="44">
        <v>13971190867</v>
      </c>
      <c r="F199" s="41" t="s">
        <v>91</v>
      </c>
      <c r="G199" s="26"/>
      <c r="H199" s="41" t="s">
        <v>84</v>
      </c>
      <c r="I199" s="41" t="s">
        <v>55</v>
      </c>
      <c r="J199" s="41">
        <v>1800</v>
      </c>
      <c r="K199" s="41" t="s">
        <v>85</v>
      </c>
      <c r="O199" s="41" t="s">
        <v>369</v>
      </c>
      <c r="P199" s="41">
        <v>9307928</v>
      </c>
      <c r="Q199" s="41" t="s">
        <v>87</v>
      </c>
      <c r="R199" s="41" t="s">
        <v>88</v>
      </c>
      <c r="S199" s="91" t="s">
        <v>87</v>
      </c>
      <c r="T199" s="41" t="s">
        <v>89</v>
      </c>
    </row>
    <row r="200" ht="30" hidden="1" customHeight="1" spans="1:21">
      <c r="A200" s="94">
        <v>46214</v>
      </c>
      <c r="B200" s="41">
        <v>3355890</v>
      </c>
      <c r="C200" s="41" t="s">
        <v>43</v>
      </c>
      <c r="D200" s="44" t="s">
        <v>370</v>
      </c>
      <c r="E200" s="44">
        <v>13044855755</v>
      </c>
      <c r="F200" s="41" t="s">
        <v>131</v>
      </c>
      <c r="G200" s="26"/>
      <c r="H200" s="26" t="s">
        <v>153</v>
      </c>
      <c r="I200" s="26"/>
      <c r="J200" s="41">
        <v>284.05</v>
      </c>
      <c r="K200" s="41" t="s">
        <v>94</v>
      </c>
      <c r="O200" s="41" t="s">
        <v>131</v>
      </c>
      <c r="P200" s="41">
        <v>9122535</v>
      </c>
      <c r="Q200" s="41" t="s">
        <v>87</v>
      </c>
      <c r="R200" s="41" t="s">
        <v>88</v>
      </c>
      <c r="S200" s="91" t="s">
        <v>87</v>
      </c>
      <c r="T200" s="41" t="s">
        <v>89</v>
      </c>
    </row>
    <row r="201" hidden="1" customHeight="1" spans="1:21">
      <c r="A201" s="94">
        <v>46214</v>
      </c>
      <c r="C201" s="41" t="s">
        <v>44</v>
      </c>
      <c r="H201" s="26"/>
      <c r="I201" s="26"/>
      <c r="J201" s="41">
        <v>2200</v>
      </c>
      <c r="K201" s="41" t="s">
        <v>151</v>
      </c>
      <c r="Q201" s="26"/>
      <c r="R201" s="26"/>
      <c r="S201" s="26"/>
      <c r="T201" s="26"/>
    </row>
    <row r="202" ht="33" hidden="1" customHeight="1" spans="1:21">
      <c r="A202" s="94"/>
      <c r="D202" s="44"/>
      <c r="E202" s="44"/>
      <c r="H202" s="26"/>
      <c r="I202" s="26"/>
      <c r="Q202" s="26"/>
      <c r="R202" s="26"/>
      <c r="S202" s="26"/>
      <c r="T202" s="26"/>
    </row>
    <row r="203" ht="34" hidden="1" customHeight="1" spans="1:21">
      <c r="A203" s="94">
        <v>46214</v>
      </c>
      <c r="B203" s="26">
        <v>2855228</v>
      </c>
      <c r="C203" s="41" t="s">
        <v>43</v>
      </c>
      <c r="D203" s="41" t="s">
        <v>371</v>
      </c>
      <c r="E203" s="41">
        <v>15971671394</v>
      </c>
      <c r="F203" s="41" t="s">
        <v>121</v>
      </c>
      <c r="H203" s="97" t="s">
        <v>153</v>
      </c>
      <c r="I203" s="26"/>
      <c r="J203" s="41">
        <v>479</v>
      </c>
      <c r="K203" s="41" t="s">
        <v>118</v>
      </c>
      <c r="O203" s="26" t="s">
        <v>372</v>
      </c>
      <c r="P203" s="44">
        <v>9122581</v>
      </c>
      <c r="Q203" s="41" t="s">
        <v>87</v>
      </c>
      <c r="R203" s="41" t="s">
        <v>88</v>
      </c>
      <c r="S203" s="91" t="s">
        <v>87</v>
      </c>
      <c r="T203" s="41" t="s">
        <v>89</v>
      </c>
    </row>
    <row r="204" hidden="1" customHeight="1" spans="1:21">
      <c r="A204" s="94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97"/>
      <c r="T204" s="26"/>
      <c r="U204" s="26"/>
    </row>
    <row r="205" hidden="1" customHeight="1" spans="1:21">
      <c r="A205" s="94">
        <v>46214</v>
      </c>
      <c r="B205" s="26">
        <v>2855230</v>
      </c>
      <c r="C205" s="26" t="s">
        <v>45</v>
      </c>
      <c r="D205" s="29" t="s">
        <v>373</v>
      </c>
      <c r="E205" s="29">
        <v>15926387891</v>
      </c>
      <c r="F205" s="26" t="s">
        <v>83</v>
      </c>
      <c r="G205" s="26"/>
      <c r="H205" s="41" t="s">
        <v>137</v>
      </c>
      <c r="I205" s="41" t="s">
        <v>55</v>
      </c>
      <c r="J205" s="26">
        <v>1111</v>
      </c>
      <c r="K205" s="26" t="s">
        <v>94</v>
      </c>
      <c r="L205" s="26"/>
      <c r="M205" s="26"/>
      <c r="N205" s="26"/>
      <c r="O205" s="26" t="s">
        <v>374</v>
      </c>
      <c r="P205" s="26">
        <v>9310375</v>
      </c>
      <c r="Q205" s="26"/>
      <c r="R205" s="26"/>
      <c r="S205" s="26"/>
      <c r="T205" s="26"/>
      <c r="U205" s="26"/>
    </row>
    <row r="206" ht="32" customHeight="1" spans="1:21">
      <c r="A206" s="88">
        <v>46215</v>
      </c>
      <c r="B206" s="89"/>
      <c r="C206" s="89" t="s">
        <v>50</v>
      </c>
      <c r="D206" s="89"/>
      <c r="E206" s="89"/>
      <c r="F206" s="89"/>
      <c r="G206" s="89"/>
      <c r="H206" s="89"/>
      <c r="I206" s="89"/>
      <c r="J206" s="89">
        <v>11</v>
      </c>
      <c r="K206" s="89" t="s">
        <v>230</v>
      </c>
      <c r="L206" s="89"/>
      <c r="M206" s="89"/>
      <c r="N206" s="89"/>
      <c r="O206" s="89"/>
      <c r="P206" s="89"/>
      <c r="Q206" s="89"/>
      <c r="R206" s="89"/>
      <c r="S206" s="89"/>
      <c r="T206" s="89"/>
      <c r="U206" s="89"/>
    </row>
    <row r="207" ht="30" customHeight="1" spans="1:21">
      <c r="A207" s="88">
        <v>46215</v>
      </c>
      <c r="B207" s="89"/>
      <c r="C207" s="89" t="s">
        <v>48</v>
      </c>
      <c r="D207" s="89"/>
      <c r="E207" s="89"/>
      <c r="F207" s="89"/>
      <c r="G207" s="89"/>
      <c r="H207" s="89"/>
      <c r="I207" s="89"/>
      <c r="J207" s="89">
        <v>90</v>
      </c>
      <c r="K207" s="89" t="s">
        <v>230</v>
      </c>
      <c r="L207" s="89"/>
      <c r="M207" s="89"/>
      <c r="N207" s="89"/>
      <c r="O207" s="89"/>
      <c r="P207" s="89"/>
      <c r="Q207" s="89"/>
      <c r="R207" s="89"/>
      <c r="S207" s="89"/>
      <c r="T207" s="89"/>
      <c r="U207" s="89"/>
    </row>
    <row r="208" ht="29" customHeight="1" spans="1:21">
      <c r="A208" s="88">
        <v>46215</v>
      </c>
      <c r="B208" s="89"/>
      <c r="C208" s="89" t="s">
        <v>48</v>
      </c>
      <c r="D208" s="89"/>
      <c r="E208" s="89"/>
      <c r="F208" s="89"/>
      <c r="G208" s="89"/>
      <c r="H208" s="89"/>
      <c r="I208" s="89" t="s">
        <v>58</v>
      </c>
      <c r="J208" s="89">
        <v>10</v>
      </c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</row>
    <row r="209" ht="29" customHeight="1" spans="1:21">
      <c r="A209" s="88">
        <v>46215</v>
      </c>
      <c r="B209" s="89"/>
      <c r="C209" s="89" t="s">
        <v>52</v>
      </c>
      <c r="D209" s="89"/>
      <c r="E209" s="89"/>
      <c r="F209" s="89"/>
      <c r="G209" s="89"/>
      <c r="H209" s="89"/>
      <c r="I209" s="89"/>
      <c r="J209" s="89">
        <v>9.9</v>
      </c>
      <c r="K209" s="89" t="s">
        <v>230</v>
      </c>
      <c r="L209" s="89"/>
      <c r="M209" s="89"/>
      <c r="N209" s="89"/>
      <c r="O209" s="89"/>
      <c r="P209" s="89"/>
      <c r="Q209" s="89"/>
      <c r="R209" s="89"/>
      <c r="S209" s="89"/>
      <c r="T209" s="89"/>
      <c r="U209" s="89"/>
    </row>
    <row r="210" ht="31" customHeight="1" spans="1:21">
      <c r="A210" s="88">
        <v>46215</v>
      </c>
      <c r="B210" s="89"/>
      <c r="C210" s="89" t="s">
        <v>53</v>
      </c>
      <c r="D210" s="89"/>
      <c r="E210" s="89"/>
      <c r="F210" s="89"/>
      <c r="G210" s="89"/>
      <c r="H210" s="89"/>
      <c r="I210" s="89"/>
      <c r="J210" s="89">
        <v>0</v>
      </c>
      <c r="K210" s="89" t="s">
        <v>230</v>
      </c>
      <c r="L210" s="89"/>
      <c r="M210" s="89"/>
      <c r="N210" s="89"/>
      <c r="O210" s="89"/>
      <c r="P210" s="89"/>
      <c r="Q210" s="89"/>
      <c r="R210" s="89"/>
      <c r="S210" s="89"/>
      <c r="T210" s="89"/>
      <c r="U210" s="89"/>
    </row>
    <row r="211" ht="31" customHeight="1" spans="1:21">
      <c r="A211" s="88">
        <v>46215</v>
      </c>
      <c r="B211" s="89"/>
      <c r="C211" s="89" t="s">
        <v>47</v>
      </c>
      <c r="D211" s="89"/>
      <c r="E211" s="89"/>
      <c r="F211" s="89"/>
      <c r="G211" s="89"/>
      <c r="H211" s="89"/>
      <c r="I211" s="89"/>
      <c r="J211" s="89">
        <v>0</v>
      </c>
      <c r="K211" s="89" t="s">
        <v>230</v>
      </c>
      <c r="L211" s="89"/>
      <c r="M211" s="89"/>
      <c r="N211" s="89"/>
      <c r="O211" s="89"/>
      <c r="P211" s="89"/>
      <c r="Q211" s="89"/>
      <c r="R211" s="89"/>
      <c r="S211" s="89"/>
      <c r="T211" s="89"/>
      <c r="U211" s="89"/>
    </row>
    <row r="212" ht="30" customHeight="1" spans="1:21">
      <c r="A212" s="94">
        <v>46215</v>
      </c>
      <c r="B212" s="26"/>
      <c r="C212" s="26" t="s">
        <v>45</v>
      </c>
      <c r="D212" s="26"/>
      <c r="E212" s="26"/>
      <c r="F212" s="26"/>
      <c r="G212" s="26"/>
      <c r="H212" s="26"/>
      <c r="I212" s="26"/>
      <c r="J212" s="26">
        <v>2999</v>
      </c>
      <c r="K212" s="26" t="s">
        <v>156</v>
      </c>
      <c r="L212" s="26"/>
      <c r="M212" s="26"/>
      <c r="N212" s="26"/>
      <c r="O212" s="26"/>
      <c r="P212" s="26"/>
      <c r="Q212" s="26"/>
      <c r="R212" s="26"/>
      <c r="S212" s="26"/>
      <c r="T212" s="26"/>
    </row>
    <row r="213" ht="29" customHeight="1" spans="1:21">
      <c r="A213" s="94">
        <v>46215</v>
      </c>
      <c r="B213" s="26">
        <v>2955225</v>
      </c>
      <c r="C213" s="26" t="s">
        <v>43</v>
      </c>
      <c r="D213" s="29" t="s">
        <v>375</v>
      </c>
      <c r="E213" s="29" t="s">
        <v>376</v>
      </c>
      <c r="F213" s="41" t="s">
        <v>121</v>
      </c>
      <c r="G213" s="26"/>
      <c r="H213" s="41" t="s">
        <v>84</v>
      </c>
      <c r="I213" s="41" t="s">
        <v>55</v>
      </c>
      <c r="J213" s="98">
        <v>998</v>
      </c>
      <c r="K213" s="26" t="s">
        <v>118</v>
      </c>
      <c r="L213" s="26"/>
      <c r="M213" s="26"/>
      <c r="N213" s="26"/>
      <c r="O213" s="99" t="s">
        <v>377</v>
      </c>
      <c r="P213" s="26">
        <v>9122536</v>
      </c>
      <c r="Q213" s="41" t="s">
        <v>87</v>
      </c>
      <c r="R213" s="41" t="s">
        <v>88</v>
      </c>
      <c r="S213" s="91" t="s">
        <v>87</v>
      </c>
      <c r="T213" s="41" t="s">
        <v>89</v>
      </c>
    </row>
    <row r="214" ht="30" customHeight="1" spans="1:21">
      <c r="A214" s="94">
        <v>46215</v>
      </c>
      <c r="B214" s="26">
        <v>2855232</v>
      </c>
      <c r="C214" s="26" t="s">
        <v>44</v>
      </c>
      <c r="D214" s="29" t="s">
        <v>378</v>
      </c>
      <c r="E214" s="29">
        <v>15272890731</v>
      </c>
      <c r="F214" s="41" t="s">
        <v>131</v>
      </c>
      <c r="G214" s="26"/>
      <c r="H214" s="41" t="s">
        <v>84</v>
      </c>
      <c r="I214" s="41" t="s">
        <v>55</v>
      </c>
      <c r="J214" s="26">
        <v>2999</v>
      </c>
      <c r="K214" s="26" t="s">
        <v>97</v>
      </c>
      <c r="L214" s="26"/>
      <c r="M214" s="26"/>
      <c r="N214" s="26"/>
      <c r="O214" s="26" t="s">
        <v>379</v>
      </c>
      <c r="P214" s="26">
        <v>9205573</v>
      </c>
      <c r="Q214" s="26" t="s">
        <v>87</v>
      </c>
      <c r="R214" s="26" t="s">
        <v>88</v>
      </c>
      <c r="S214" s="26" t="s">
        <v>87</v>
      </c>
      <c r="T214" s="41" t="s">
        <v>89</v>
      </c>
    </row>
    <row r="215" ht="27" customHeight="1" spans="1:21">
      <c r="A215" s="94">
        <v>46215</v>
      </c>
      <c r="B215" s="26"/>
      <c r="C215" s="26" t="s">
        <v>43</v>
      </c>
      <c r="D215" s="26"/>
      <c r="E215" s="26"/>
      <c r="F215" s="26"/>
      <c r="G215" s="26"/>
      <c r="H215" s="26"/>
      <c r="I215" s="26"/>
      <c r="J215" s="26">
        <v>40</v>
      </c>
      <c r="K215" s="26" t="s">
        <v>108</v>
      </c>
      <c r="L215" s="26"/>
      <c r="M215" s="26"/>
      <c r="N215" s="26"/>
      <c r="O215" s="26" t="s">
        <v>380</v>
      </c>
      <c r="P215" s="26"/>
      <c r="Q215" s="26"/>
      <c r="R215" s="26"/>
      <c r="S215" s="26"/>
      <c r="T215" s="26"/>
    </row>
    <row r="216" ht="27" customHeight="1" spans="1:21">
      <c r="A216" s="94">
        <v>46215</v>
      </c>
      <c r="B216" s="26"/>
      <c r="C216" s="26" t="s">
        <v>44</v>
      </c>
      <c r="D216" s="26"/>
      <c r="E216" s="26"/>
      <c r="F216" s="26"/>
      <c r="G216" s="26"/>
      <c r="H216" s="26"/>
      <c r="I216" s="26"/>
      <c r="J216" s="26">
        <v>4000</v>
      </c>
      <c r="K216" s="26" t="s">
        <v>352</v>
      </c>
      <c r="L216" s="26"/>
      <c r="M216" s="26"/>
      <c r="N216" s="26"/>
      <c r="O216" s="26"/>
      <c r="P216" s="26"/>
      <c r="Q216" s="26"/>
      <c r="R216" s="26"/>
      <c r="S216" s="26"/>
      <c r="T216" s="26"/>
    </row>
    <row r="217" ht="29" customHeight="1" spans="1:21">
      <c r="A217" s="94">
        <v>46215</v>
      </c>
      <c r="B217" s="41">
        <v>2855233</v>
      </c>
      <c r="C217" s="41" t="s">
        <v>43</v>
      </c>
      <c r="D217" s="41" t="s">
        <v>381</v>
      </c>
      <c r="E217" s="41">
        <v>18827085792</v>
      </c>
      <c r="F217" s="41" t="s">
        <v>131</v>
      </c>
      <c r="H217" s="41" t="s">
        <v>84</v>
      </c>
      <c r="I217" s="41" t="s">
        <v>55</v>
      </c>
      <c r="J217" s="41">
        <v>260</v>
      </c>
      <c r="K217" s="41" t="s">
        <v>382</v>
      </c>
      <c r="O217" s="41" t="s">
        <v>383</v>
      </c>
      <c r="P217" s="41">
        <v>9122583</v>
      </c>
      <c r="Q217" s="26" t="s">
        <v>87</v>
      </c>
      <c r="R217" s="26" t="s">
        <v>88</v>
      </c>
      <c r="S217" s="26" t="s">
        <v>87</v>
      </c>
      <c r="T217" s="41" t="s">
        <v>89</v>
      </c>
    </row>
    <row r="218" customHeight="1" spans="1:21">
      <c r="A218" s="94">
        <v>46215</v>
      </c>
      <c r="B218" s="91">
        <v>2855234</v>
      </c>
      <c r="C218" s="41" t="s">
        <v>45</v>
      </c>
      <c r="D218" s="41" t="s">
        <v>384</v>
      </c>
      <c r="E218" s="41">
        <v>13554472816</v>
      </c>
      <c r="F218" s="41" t="s">
        <v>91</v>
      </c>
      <c r="H218" s="41" t="s">
        <v>84</v>
      </c>
      <c r="I218" s="41" t="s">
        <v>55</v>
      </c>
      <c r="J218" s="41">
        <v>900</v>
      </c>
      <c r="K218" s="41" t="s">
        <v>108</v>
      </c>
      <c r="O218" s="91" t="s">
        <v>385</v>
      </c>
      <c r="P218" s="41">
        <v>9310376</v>
      </c>
      <c r="Q218" s="26" t="s">
        <v>87</v>
      </c>
      <c r="R218" s="26" t="s">
        <v>88</v>
      </c>
      <c r="S218" s="26" t="s">
        <v>87</v>
      </c>
      <c r="T218" s="41" t="s">
        <v>89</v>
      </c>
    </row>
    <row r="219" ht="29" customHeight="1" spans="1:21">
      <c r="A219" s="94">
        <v>46215</v>
      </c>
      <c r="C219" s="41" t="s">
        <v>43</v>
      </c>
      <c r="J219" s="41">
        <v>1000</v>
      </c>
      <c r="K219" s="41" t="s">
        <v>85</v>
      </c>
      <c r="O219" s="44"/>
      <c r="Q219" s="26"/>
      <c r="R219" s="26"/>
      <c r="S219" s="26"/>
      <c r="T219" s="26"/>
    </row>
    <row r="220" customHeight="1" spans="1:21">
      <c r="A220" s="94">
        <v>46215</v>
      </c>
      <c r="B220" s="41">
        <v>3355893</v>
      </c>
      <c r="C220" s="41" t="s">
        <v>43</v>
      </c>
      <c r="D220" s="41" t="s">
        <v>386</v>
      </c>
      <c r="E220" s="44">
        <v>18519316017</v>
      </c>
      <c r="F220" s="41" t="s">
        <v>238</v>
      </c>
      <c r="H220" s="41" t="s">
        <v>84</v>
      </c>
      <c r="I220" s="41" t="s">
        <v>55</v>
      </c>
      <c r="J220" s="41">
        <v>2800</v>
      </c>
      <c r="K220" s="41" t="s">
        <v>85</v>
      </c>
      <c r="O220" s="41" t="s">
        <v>387</v>
      </c>
      <c r="P220" s="41">
        <v>9307931</v>
      </c>
      <c r="Q220" s="26" t="s">
        <v>87</v>
      </c>
      <c r="R220" s="26" t="s">
        <v>88</v>
      </c>
      <c r="S220" s="26" t="s">
        <v>87</v>
      </c>
      <c r="T220" s="41" t="s">
        <v>89</v>
      </c>
    </row>
    <row r="221" customHeight="1" spans="1:21">
      <c r="A221" s="94">
        <v>46215</v>
      </c>
      <c r="B221" s="26">
        <v>2855235</v>
      </c>
      <c r="C221" s="41" t="s">
        <v>43</v>
      </c>
      <c r="D221" s="26" t="s">
        <v>388</v>
      </c>
      <c r="E221" s="26">
        <v>18291721226</v>
      </c>
      <c r="F221" s="26" t="s">
        <v>121</v>
      </c>
      <c r="G221" s="26"/>
      <c r="H221" s="41" t="s">
        <v>84</v>
      </c>
      <c r="I221" s="41" t="s">
        <v>55</v>
      </c>
      <c r="J221" s="26">
        <v>479</v>
      </c>
      <c r="K221" s="41" t="s">
        <v>85</v>
      </c>
      <c r="L221" s="26"/>
      <c r="M221" s="26"/>
      <c r="N221" s="26"/>
      <c r="O221" s="41" t="s">
        <v>122</v>
      </c>
      <c r="P221" s="26">
        <v>9122644</v>
      </c>
      <c r="Q221" s="26" t="s">
        <v>87</v>
      </c>
      <c r="R221" s="26" t="s">
        <v>88</v>
      </c>
      <c r="S221" s="26" t="s">
        <v>87</v>
      </c>
      <c r="T221" s="41" t="s">
        <v>89</v>
      </c>
      <c r="U221" s="26"/>
    </row>
    <row r="222" customHeight="1" spans="1:21">
      <c r="A222" s="100"/>
      <c r="B222" s="26"/>
      <c r="D222" s="26"/>
      <c r="E222" s="26"/>
      <c r="F222" s="26"/>
      <c r="G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</row>
    <row r="223" customHeight="1" spans="1:21">
      <c r="A223" s="100"/>
      <c r="B223" s="26"/>
      <c r="D223" s="26"/>
      <c r="E223" s="26"/>
      <c r="F223" s="26"/>
      <c r="G223" s="26"/>
      <c r="I223" s="26"/>
      <c r="J223" s="26"/>
      <c r="K223" s="26"/>
      <c r="L223" s="26"/>
      <c r="M223" s="26"/>
      <c r="N223" s="26"/>
      <c r="O223" s="26"/>
      <c r="P223" s="26"/>
      <c r="S223" s="91"/>
      <c r="U223" s="26"/>
    </row>
    <row r="224" ht="27" customHeight="1" spans="1:21">
      <c r="A224" s="100"/>
      <c r="B224" s="26"/>
      <c r="D224" s="26"/>
      <c r="E224" s="26"/>
      <c r="F224" s="26"/>
      <c r="G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</row>
    <row r="225" customHeight="1" spans="1:21">
      <c r="A225" s="100"/>
      <c r="B225" s="26"/>
      <c r="D225" s="26"/>
      <c r="E225" s="26"/>
      <c r="F225" s="26"/>
      <c r="G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</row>
    <row r="226" ht="46" customHeight="1" spans="1:21">
      <c r="A226" s="100"/>
      <c r="O226" s="44"/>
      <c r="Q226" s="26"/>
      <c r="R226" s="26"/>
      <c r="S226" s="26"/>
      <c r="T226" s="26"/>
    </row>
    <row r="227" ht="37" customHeight="1" spans="1:21">
      <c r="A227" s="100"/>
      <c r="O227" s="44"/>
      <c r="Q227" s="26"/>
      <c r="R227" s="26"/>
      <c r="S227" s="26"/>
      <c r="T227" s="26"/>
    </row>
    <row r="228" customHeight="1" spans="1:21">
      <c r="A228" s="101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</row>
    <row r="229" customHeight="1" spans="1:21">
      <c r="A229" s="101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</row>
    <row r="230" customHeight="1" spans="1:21">
      <c r="A230" s="101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</row>
    <row r="231" customHeight="1" spans="1:21">
      <c r="A231" s="101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</row>
    <row r="232" customHeight="1" spans="1:21">
      <c r="A232" s="101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</row>
    <row r="233" customHeight="1" spans="1:21">
      <c r="Q233" s="26"/>
      <c r="R233" s="26"/>
      <c r="S233" s="26"/>
      <c r="T233" s="26"/>
    </row>
    <row r="234" customHeight="1" spans="1:21">
      <c r="Q234" s="26"/>
      <c r="R234" s="26"/>
      <c r="S234" s="26"/>
      <c r="T234" s="26"/>
    </row>
    <row r="235" customHeight="1" spans="1:21">
      <c r="Q235" s="26"/>
      <c r="R235" s="26"/>
      <c r="S235" s="26"/>
      <c r="T235" s="26"/>
    </row>
    <row r="236" customHeight="1" spans="1:21">
      <c r="Q236" s="26"/>
      <c r="R236" s="26"/>
      <c r="S236" s="26"/>
      <c r="T236" s="26"/>
    </row>
    <row r="237" ht="31" customHeight="1" spans="1:21">
      <c r="D237" s="44"/>
      <c r="O237" s="44"/>
      <c r="Q237" s="26"/>
      <c r="R237" s="26"/>
      <c r="S237" s="26"/>
      <c r="T237" s="26"/>
    </row>
    <row r="238" customHeight="1" spans="1:21">
      <c r="S238" s="90"/>
    </row>
    <row r="239" ht="32" customHeight="1" spans="1:21">
      <c r="D239" s="44"/>
      <c r="E239" s="44"/>
      <c r="Q239" s="26"/>
      <c r="R239" s="26"/>
      <c r="S239" s="26"/>
      <c r="T239" s="26"/>
    </row>
    <row r="240" ht="28" customHeight="1" spans="1:21">
      <c r="D240" s="44"/>
      <c r="Q240" s="26"/>
      <c r="R240" s="26"/>
      <c r="S240" s="26"/>
      <c r="T240" s="26"/>
    </row>
    <row r="241" ht="34" customHeight="1" spans="1:21">
      <c r="D241" s="44"/>
      <c r="E241" s="44"/>
      <c r="Q241" s="26"/>
      <c r="R241" s="26"/>
      <c r="S241" s="26"/>
      <c r="T241" s="26"/>
    </row>
    <row r="242" ht="33" customHeight="1" spans="1:21">
      <c r="B242" s="26"/>
      <c r="D242" s="29"/>
      <c r="E242" s="29"/>
      <c r="F242" s="26"/>
      <c r="G242" s="26"/>
      <c r="J242" s="26"/>
      <c r="L242" s="26"/>
      <c r="M242" s="26"/>
      <c r="N242" s="26"/>
      <c r="O242" s="44"/>
      <c r="P242" s="26"/>
      <c r="Q242" s="26"/>
      <c r="R242" s="26"/>
      <c r="S242" s="26"/>
      <c r="T242" s="26"/>
      <c r="U242" s="26"/>
    </row>
    <row r="243" ht="38" customHeight="1" spans="1:21">
      <c r="B243" s="26"/>
      <c r="D243" s="26"/>
      <c r="E243" s="26"/>
      <c r="F243" s="26"/>
      <c r="G243" s="26"/>
      <c r="J243" s="26"/>
      <c r="K243" s="26"/>
      <c r="L243" s="26"/>
      <c r="M243" s="26"/>
      <c r="N243" s="26"/>
      <c r="O243" s="102"/>
      <c r="P243" s="26"/>
      <c r="Q243" s="26"/>
      <c r="R243" s="26"/>
      <c r="S243" s="38"/>
      <c r="T243" s="26"/>
      <c r="U243" s="26"/>
    </row>
    <row r="244" ht="29" customHeight="1" spans="1:21">
      <c r="B244" s="26"/>
      <c r="C244" s="26"/>
      <c r="D244" s="26"/>
      <c r="E244" s="26"/>
      <c r="F244" s="26"/>
      <c r="G244" s="26"/>
      <c r="J244" s="98"/>
      <c r="K244" s="26"/>
      <c r="L244" s="26"/>
      <c r="M244" s="26"/>
      <c r="N244" s="26"/>
      <c r="O244" s="103"/>
      <c r="P244" s="26"/>
      <c r="Q244" s="26"/>
      <c r="R244" s="26"/>
      <c r="S244" s="26"/>
      <c r="T244" s="26"/>
      <c r="U244" s="26"/>
    </row>
    <row r="245" customHeight="1" spans="1:21">
      <c r="A245" s="101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</row>
    <row r="246" customHeight="1" spans="1:21">
      <c r="A246" s="101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</row>
    <row r="247" customHeight="1" spans="1:21">
      <c r="A247" s="101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</row>
    <row r="248" customHeight="1" spans="1:21">
      <c r="A248" s="101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</row>
    <row r="249" customHeight="1" spans="1:21">
      <c r="A249" s="101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</row>
    <row r="250" customHeight="1" spans="1:21">
      <c r="Q250" s="26"/>
      <c r="R250" s="26"/>
      <c r="S250" s="26"/>
      <c r="T250" s="26"/>
    </row>
    <row r="251" ht="27" customHeight="1" spans="1:21">
      <c r="O251" s="104"/>
      <c r="Q251" s="26"/>
      <c r="R251" s="26"/>
      <c r="S251" s="26"/>
      <c r="T251" s="26"/>
    </row>
    <row r="252" customHeight="1" spans="1:21">
      <c r="O252" s="91"/>
      <c r="Q252" s="26"/>
      <c r="R252" s="26"/>
      <c r="S252" s="26"/>
      <c r="T252" s="26"/>
    </row>
    <row r="253" customHeight="1" spans="1:21">
      <c r="Q253" s="26"/>
      <c r="R253" s="26"/>
      <c r="S253" s="26"/>
      <c r="T253" s="26"/>
    </row>
    <row r="254" ht="28" customHeight="1" spans="1:21">
      <c r="O254" s="105"/>
      <c r="Q254" s="26"/>
      <c r="R254" s="26"/>
      <c r="S254" s="26"/>
      <c r="T254" s="26"/>
    </row>
    <row r="255" customHeight="1" spans="1:21">
      <c r="Q255" s="26"/>
      <c r="R255" s="26"/>
      <c r="S255" s="26"/>
      <c r="T255" s="26"/>
    </row>
    <row r="256" ht="32" customHeight="1" spans="1:21">
      <c r="A256" s="101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</row>
    <row r="257" customHeight="1" spans="1:21">
      <c r="A257" s="101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</row>
    <row r="258" ht="31" customHeight="1" spans="1:21">
      <c r="A258" s="101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</row>
    <row r="259" customHeight="1" spans="1:21">
      <c r="A259" s="101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</row>
    <row r="260" ht="28" customHeight="1" spans="1:21">
      <c r="A260" s="101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</row>
    <row r="261" ht="24" customHeight="1" spans="1:21"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 ht="30" customHeight="1" spans="1:21">
      <c r="H262" s="26"/>
      <c r="I262" s="26"/>
      <c r="Q262" s="26"/>
      <c r="R262" s="26"/>
      <c r="S262" s="26"/>
      <c r="T262" s="26"/>
    </row>
    <row r="263" customHeight="1" spans="1:21">
      <c r="D263" s="44"/>
      <c r="H263" s="26"/>
      <c r="I263" s="26"/>
      <c r="Q263" s="26"/>
      <c r="R263" s="26"/>
      <c r="S263" s="26"/>
      <c r="T263" s="26"/>
    </row>
    <row r="264" ht="30" customHeight="1" spans="1:21">
      <c r="D264" s="44"/>
      <c r="H264" s="26"/>
      <c r="I264" s="26"/>
      <c r="O264" s="44"/>
      <c r="Q264" s="26"/>
      <c r="R264" s="26"/>
      <c r="S264" s="38"/>
      <c r="T264" s="26"/>
    </row>
    <row r="265" ht="32" customHeight="1" spans="1:21">
      <c r="D265" s="44"/>
      <c r="E265" s="44"/>
      <c r="H265" s="26"/>
      <c r="I265" s="26"/>
      <c r="S265" s="91"/>
    </row>
    <row r="266" ht="32" customHeight="1" spans="1:21">
      <c r="C266" s="26"/>
      <c r="D266" s="44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</row>
    <row r="267" customHeight="1" spans="1:21">
      <c r="B267" s="26"/>
      <c r="C267" s="26"/>
      <c r="D267" s="26"/>
      <c r="E267" s="26"/>
      <c r="F267" s="26"/>
      <c r="G267" s="26"/>
      <c r="H267" s="26"/>
      <c r="J267" s="26"/>
      <c r="K267" s="26"/>
      <c r="L267" s="26"/>
      <c r="M267" s="26"/>
      <c r="N267" s="26"/>
      <c r="O267" s="26"/>
      <c r="P267" s="26"/>
      <c r="S267" s="91"/>
      <c r="U267" s="26"/>
    </row>
    <row r="268" ht="35" customHeight="1" spans="1:21"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S268" s="91"/>
      <c r="U268" s="26"/>
    </row>
    <row r="269" customHeight="1" spans="1:21">
      <c r="B269" s="97"/>
      <c r="C269" s="26"/>
      <c r="D269" s="26"/>
      <c r="E269" s="26"/>
      <c r="F269" s="26"/>
      <c r="G269" s="26"/>
      <c r="I269" s="26"/>
      <c r="J269" s="26"/>
      <c r="K269" s="26"/>
      <c r="L269" s="26"/>
      <c r="M269" s="26"/>
      <c r="N269" s="26"/>
      <c r="O269" s="97"/>
      <c r="P269" s="26"/>
      <c r="S269" s="91"/>
      <c r="U269" s="26"/>
    </row>
    <row r="270" customHeight="1" spans="1:21">
      <c r="B270" s="26"/>
      <c r="C270" s="26"/>
      <c r="D270" s="26"/>
      <c r="E270" s="26"/>
      <c r="F270" s="26"/>
      <c r="G270" s="26"/>
      <c r="H270" s="26"/>
      <c r="J270" s="26"/>
      <c r="K270" s="26"/>
      <c r="L270" s="26"/>
      <c r="M270" s="26"/>
      <c r="N270" s="26"/>
      <c r="O270" s="26"/>
      <c r="P270" s="26"/>
      <c r="S270" s="91"/>
      <c r="U270" s="26"/>
    </row>
    <row r="271" customHeight="1" spans="1:21">
      <c r="B271" s="26"/>
      <c r="C271" s="26"/>
      <c r="D271" s="26"/>
      <c r="E271" s="26"/>
      <c r="F271" s="26"/>
      <c r="H271" s="26"/>
      <c r="I271" s="26"/>
      <c r="K271" s="26"/>
      <c r="O271" s="44"/>
      <c r="P271" s="26"/>
      <c r="Q271" s="26"/>
      <c r="R271" s="26"/>
      <c r="S271" s="26"/>
      <c r="T271" s="26"/>
    </row>
    <row r="272" ht="31" customHeight="1" spans="1:21">
      <c r="D272" s="44"/>
      <c r="E272" s="44"/>
      <c r="H272" s="26"/>
      <c r="I272" s="26"/>
      <c r="K272" s="26"/>
      <c r="O272" s="26"/>
      <c r="P272" s="26"/>
      <c r="Q272" s="26"/>
      <c r="R272" s="26"/>
      <c r="S272" s="26"/>
      <c r="T272" s="26"/>
    </row>
    <row r="273" ht="32" customHeight="1" spans="1:21">
      <c r="D273" s="44"/>
      <c r="H273" s="26"/>
      <c r="K273" s="26"/>
      <c r="O273" s="44"/>
      <c r="Q273" s="26"/>
      <c r="R273" s="26"/>
      <c r="S273" s="26"/>
      <c r="T273" s="26"/>
    </row>
    <row r="274" customHeight="1" spans="1:21">
      <c r="H274" s="26"/>
      <c r="I274" s="26"/>
      <c r="K274" s="26"/>
      <c r="O274" s="44"/>
      <c r="Q274" s="26"/>
      <c r="R274" s="26"/>
      <c r="S274" s="26"/>
      <c r="T274" s="26"/>
    </row>
    <row r="275" customHeight="1" spans="1:21">
      <c r="H275" s="26"/>
      <c r="I275" s="26"/>
      <c r="K275" s="26"/>
      <c r="Q275" s="26"/>
      <c r="R275" s="26"/>
      <c r="S275" s="26"/>
      <c r="T275" s="26"/>
    </row>
    <row r="276" customHeight="1" spans="1:21"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99"/>
      <c r="T276" s="26"/>
    </row>
    <row r="277" ht="29" customHeight="1" spans="1:21">
      <c r="B277" s="26"/>
      <c r="C277" s="26"/>
      <c r="D277" s="26"/>
      <c r="E277" s="26"/>
      <c r="F277" s="26"/>
      <c r="G277" s="26"/>
      <c r="H277" s="26"/>
      <c r="I277" s="26"/>
      <c r="J277" s="98"/>
      <c r="K277" s="26"/>
      <c r="L277" s="26"/>
      <c r="M277" s="26"/>
      <c r="N277" s="26"/>
      <c r="O277" s="99"/>
      <c r="P277" s="26"/>
      <c r="Q277" s="26"/>
      <c r="R277" s="26"/>
      <c r="S277" s="26"/>
      <c r="T277" s="26"/>
    </row>
    <row r="278" customHeight="1" spans="1:21">
      <c r="A278" s="101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</row>
    <row r="279" customHeight="1" spans="1:21">
      <c r="A279" s="101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</row>
    <row r="280" ht="31" customHeight="1" spans="1:21">
      <c r="A280" s="101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</row>
    <row r="281" customHeight="1" spans="1:21">
      <c r="A281" s="101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</row>
    <row r="282" customHeight="1" spans="1:21">
      <c r="A282" s="101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</row>
    <row r="283" customHeight="1" spans="1:21">
      <c r="O283" s="91"/>
      <c r="Q283" s="26"/>
      <c r="R283" s="26"/>
      <c r="S283" s="26"/>
      <c r="T283" s="26"/>
    </row>
    <row r="284" customHeight="1" spans="1:21">
      <c r="B284" s="26"/>
      <c r="C284" s="26"/>
      <c r="D284" s="26"/>
      <c r="E284" s="26"/>
      <c r="F284" s="26"/>
      <c r="G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</row>
    <row r="285" ht="31" customHeight="1" spans="1:21">
      <c r="B285" s="26"/>
      <c r="C285" s="26"/>
      <c r="D285" s="29"/>
      <c r="E285" s="26"/>
      <c r="F285" s="26"/>
      <c r="G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</row>
    <row r="286" customHeight="1" spans="1:21">
      <c r="B286" s="26"/>
      <c r="C286" s="26"/>
      <c r="D286" s="26"/>
      <c r="E286" s="26"/>
      <c r="F286" s="26"/>
      <c r="G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</row>
    <row r="287" customHeight="1" spans="1:21">
      <c r="B287" s="26"/>
      <c r="C287" s="26"/>
      <c r="D287" s="29"/>
      <c r="E287" s="29"/>
      <c r="F287" s="26"/>
      <c r="G287" s="26"/>
      <c r="J287" s="26"/>
      <c r="K287" s="26"/>
      <c r="L287" s="26"/>
      <c r="M287" s="26"/>
      <c r="N287" s="26"/>
      <c r="O287" s="26"/>
      <c r="P287" s="26"/>
      <c r="S287" s="91"/>
      <c r="T287" s="26"/>
      <c r="U287" s="26"/>
    </row>
    <row r="288" customHeight="1" spans="1:21">
      <c r="B288" s="26"/>
      <c r="C288" s="26"/>
      <c r="D288" s="29"/>
      <c r="E288" s="26"/>
      <c r="F288" s="26"/>
      <c r="G288" s="26"/>
      <c r="J288" s="26"/>
      <c r="K288" s="26"/>
      <c r="L288" s="26"/>
      <c r="M288" s="26"/>
      <c r="N288" s="26"/>
      <c r="O288" s="26"/>
      <c r="P288" s="26"/>
      <c r="S288" s="91"/>
      <c r="U288" s="26"/>
    </row>
    <row r="289" customHeight="1" spans="1:21">
      <c r="O289" s="104"/>
      <c r="S289" s="91"/>
    </row>
    <row r="290" customHeight="1" spans="1:21">
      <c r="A290" s="101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</row>
    <row r="291" ht="29" customHeight="1" spans="1:21">
      <c r="A291" s="101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</row>
    <row r="292" ht="32" customHeight="1" spans="1:21">
      <c r="A292" s="101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</row>
    <row r="293" ht="30" customHeight="1" spans="1:21">
      <c r="A293" s="101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</row>
    <row r="294" ht="31" customHeight="1" spans="1:21">
      <c r="A294" s="101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</row>
    <row r="295" customHeight="1" spans="1:21">
      <c r="O295" s="104"/>
      <c r="S295" s="91"/>
      <c r="T295" s="26"/>
    </row>
    <row r="296" ht="30" customHeight="1" spans="1:21">
      <c r="D296" s="44"/>
      <c r="E296" s="44"/>
    </row>
    <row r="297" customHeight="1" spans="1:21">
      <c r="S297" s="91"/>
      <c r="T297" s="26"/>
    </row>
    <row r="298" customHeight="1" spans="1:21">
      <c r="B298" s="26"/>
      <c r="C298" s="26"/>
      <c r="D298" s="26"/>
      <c r="E298" s="26"/>
      <c r="F298" s="26"/>
      <c r="G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 customHeight="1" spans="1:21">
      <c r="B299" s="26"/>
      <c r="C299" s="26"/>
      <c r="D299" s="26"/>
      <c r="E299" s="26"/>
      <c r="F299" s="26"/>
      <c r="G299" s="26"/>
      <c r="J299" s="98"/>
      <c r="K299" s="26"/>
      <c r="L299" s="26"/>
      <c r="M299" s="26"/>
      <c r="N299" s="26"/>
      <c r="O299" s="99"/>
      <c r="P299" s="26"/>
      <c r="Q299" s="26"/>
      <c r="R299" s="26"/>
      <c r="S299" s="26"/>
      <c r="T299" s="26"/>
    </row>
    <row r="300" customHeight="1" spans="1:21">
      <c r="B300" s="26"/>
      <c r="C300" s="26"/>
      <c r="D300" s="26"/>
      <c r="E300" s="26"/>
      <c r="F300" s="26"/>
      <c r="G300" s="26"/>
      <c r="I300" s="26"/>
      <c r="J300" s="26"/>
      <c r="K300" s="26"/>
      <c r="L300" s="26"/>
      <c r="M300" s="26"/>
      <c r="N300" s="26"/>
      <c r="O300" s="103"/>
      <c r="P300" s="26"/>
      <c r="Q300" s="26"/>
      <c r="R300" s="26"/>
      <c r="S300" s="26"/>
      <c r="T300" s="26"/>
    </row>
    <row r="301" customHeight="1" spans="1:21">
      <c r="K301" s="26"/>
      <c r="O301" s="104"/>
      <c r="Q301" s="26"/>
      <c r="R301" s="26"/>
      <c r="S301" s="26"/>
      <c r="T301" s="26"/>
    </row>
    <row r="302" ht="30" customHeight="1" spans="1:21">
      <c r="D302" s="44"/>
      <c r="E302" s="44"/>
      <c r="I302" s="26"/>
      <c r="O302" s="91"/>
      <c r="Q302" s="26"/>
      <c r="R302" s="26"/>
      <c r="S302" s="26"/>
      <c r="T302" s="26"/>
    </row>
    <row r="303" customHeight="1" spans="1:21">
      <c r="Q303" s="26"/>
      <c r="R303" s="26"/>
      <c r="S303" s="26"/>
      <c r="T303" s="26"/>
    </row>
    <row r="304" ht="27" customHeight="1" spans="1:21">
      <c r="Q304" s="26"/>
      <c r="R304" s="26"/>
      <c r="S304" s="26"/>
      <c r="T304" s="26"/>
    </row>
    <row r="305" ht="28" customHeight="1" spans="1:21">
      <c r="O305" s="44"/>
      <c r="Q305" s="26"/>
      <c r="R305" s="26"/>
      <c r="S305" s="26"/>
      <c r="T305" s="26"/>
    </row>
    <row r="306" customHeight="1" spans="1:21">
      <c r="B306" s="26"/>
      <c r="C306" s="26"/>
      <c r="D306" s="26"/>
      <c r="E306" s="26"/>
      <c r="F306" s="26"/>
      <c r="G306" s="26"/>
      <c r="J306" s="26"/>
      <c r="K306" s="26"/>
      <c r="L306" s="26"/>
      <c r="M306" s="26"/>
      <c r="N306" s="26"/>
      <c r="O306" s="26"/>
      <c r="P306" s="26"/>
      <c r="S306" s="91"/>
      <c r="U306" s="26"/>
    </row>
    <row r="307" customHeight="1" spans="1:21">
      <c r="A307" s="101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</row>
    <row r="308" ht="34" customHeight="1" spans="1:21">
      <c r="A308" s="101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</row>
    <row r="309" customHeight="1" spans="1:21">
      <c r="A309" s="101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</row>
    <row r="310" customHeight="1" spans="1:21">
      <c r="A310" s="101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</row>
    <row r="311" customHeight="1" spans="1:21">
      <c r="A311" s="101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</row>
    <row r="312" customHeight="1" spans="1:21">
      <c r="S312" s="91"/>
    </row>
    <row r="313" ht="30" customHeight="1" spans="1:21">
      <c r="S313" s="91"/>
    </row>
    <row r="314" ht="32" customHeight="1" spans="1:21">
      <c r="D314" s="44"/>
      <c r="E314" s="44"/>
      <c r="S314" s="91"/>
    </row>
    <row r="315" customHeight="1" spans="1:21">
      <c r="B315" s="26"/>
      <c r="C315" s="26"/>
      <c r="D315" s="26"/>
      <c r="E315" s="26"/>
      <c r="F315" s="26"/>
      <c r="G315" s="26"/>
      <c r="J315" s="26"/>
      <c r="K315" s="26"/>
      <c r="L315" s="26"/>
      <c r="M315" s="26"/>
      <c r="N315" s="26"/>
      <c r="O315" s="26"/>
      <c r="P315" s="26"/>
      <c r="S315" s="91"/>
    </row>
    <row r="316" customHeight="1" spans="1:21">
      <c r="B316" s="26"/>
      <c r="C316" s="26"/>
      <c r="D316" s="26"/>
      <c r="E316" s="26"/>
      <c r="F316" s="26"/>
      <c r="G316" s="26"/>
      <c r="J316" s="26"/>
      <c r="K316" s="26"/>
      <c r="L316" s="26"/>
      <c r="M316" s="26"/>
      <c r="N316" s="26"/>
      <c r="O316" s="99"/>
      <c r="P316" s="26"/>
      <c r="S316" s="91"/>
    </row>
    <row r="317" ht="28" customHeight="1" spans="1:21">
      <c r="B317" s="26"/>
      <c r="C317" s="26"/>
      <c r="D317" s="29"/>
      <c r="E317" s="29"/>
      <c r="F317" s="26"/>
      <c r="G317" s="26"/>
      <c r="J317" s="26"/>
      <c r="K317" s="26"/>
      <c r="L317" s="26"/>
      <c r="M317" s="26"/>
      <c r="N317" s="26"/>
      <c r="O317" s="26"/>
      <c r="P317" s="26"/>
      <c r="S317" s="91"/>
    </row>
    <row r="318" customHeight="1" spans="1:21">
      <c r="B318" s="26"/>
      <c r="C318" s="26"/>
      <c r="D318" s="26"/>
      <c r="E318" s="26"/>
      <c r="F318" s="26"/>
      <c r="G318" s="26"/>
      <c r="J318" s="26"/>
      <c r="K318" s="26"/>
      <c r="L318" s="26"/>
      <c r="M318" s="26"/>
      <c r="N318" s="26"/>
      <c r="O318" s="26"/>
      <c r="P318" s="26"/>
      <c r="S318" s="91"/>
    </row>
    <row r="319" ht="50" customHeight="1" spans="1:21">
      <c r="B319" s="26"/>
      <c r="C319" s="26"/>
      <c r="D319" s="29"/>
      <c r="E319" s="29"/>
      <c r="F319" s="26"/>
      <c r="G319" s="26"/>
      <c r="J319" s="26"/>
      <c r="K319" s="26"/>
      <c r="L319" s="26"/>
      <c r="M319" s="26"/>
      <c r="N319" s="26"/>
      <c r="O319" s="29"/>
      <c r="P319" s="26"/>
      <c r="S319" s="91"/>
    </row>
    <row r="320" ht="26" customHeight="1" spans="1:21">
      <c r="A320" s="101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</row>
    <row r="321" customHeight="1" spans="1:21">
      <c r="A321" s="101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</row>
    <row r="322" customHeight="1" spans="1:21">
      <c r="A322" s="101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</row>
    <row r="323" ht="29" customHeight="1" spans="1:21">
      <c r="A323" s="101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</row>
    <row r="324" ht="31" customHeight="1" spans="1:21">
      <c r="A324" s="101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</row>
    <row r="325" ht="30" customHeight="1" spans="1:21">
      <c r="D325" s="44"/>
      <c r="E325" s="44"/>
      <c r="J325" s="26"/>
      <c r="S325" s="91"/>
    </row>
    <row r="326" customHeight="1" spans="1:21">
      <c r="D326" s="26"/>
      <c r="E326" s="26"/>
      <c r="S326" s="91"/>
    </row>
    <row r="327" ht="28" customHeight="1" spans="1:21">
      <c r="B327" s="26"/>
      <c r="C327" s="26"/>
      <c r="D327" s="26"/>
      <c r="E327" s="26"/>
      <c r="F327" s="26"/>
      <c r="G327" s="26"/>
      <c r="J327" s="26"/>
      <c r="K327" s="26"/>
      <c r="L327" s="26"/>
      <c r="M327" s="26"/>
      <c r="N327" s="26"/>
      <c r="O327" s="26"/>
      <c r="P327" s="26"/>
      <c r="S327" s="91"/>
      <c r="U327" s="26"/>
    </row>
    <row r="328" customHeight="1" spans="1:21">
      <c r="B328" s="26"/>
      <c r="C328" s="26"/>
      <c r="D328" s="26"/>
      <c r="E328" s="26"/>
      <c r="F328" s="26"/>
      <c r="G328" s="26"/>
      <c r="J328" s="26"/>
      <c r="K328" s="26"/>
      <c r="L328" s="26"/>
      <c r="M328" s="26"/>
      <c r="N328" s="26"/>
      <c r="O328" s="26"/>
      <c r="P328" s="26"/>
      <c r="S328" s="91"/>
      <c r="U328" s="26"/>
    </row>
    <row r="329" customHeight="1" spans="1:21">
      <c r="B329" s="26"/>
      <c r="C329" s="26"/>
      <c r="D329" s="26"/>
      <c r="E329" s="26"/>
      <c r="F329" s="26"/>
      <c r="G329" s="26"/>
      <c r="J329" s="26"/>
      <c r="K329" s="26"/>
      <c r="L329" s="26"/>
      <c r="M329" s="26"/>
      <c r="N329" s="26"/>
      <c r="O329" s="26"/>
      <c r="P329" s="26"/>
      <c r="S329" s="91"/>
      <c r="U329" s="26"/>
    </row>
    <row r="330" customHeight="1" spans="1:21">
      <c r="B330" s="26"/>
      <c r="C330" s="26"/>
      <c r="D330" s="26"/>
      <c r="E330" s="26"/>
      <c r="F330" s="26"/>
      <c r="G330" s="26"/>
      <c r="J330" s="26"/>
      <c r="K330" s="26"/>
      <c r="L330" s="26"/>
      <c r="M330" s="26"/>
      <c r="N330" s="26"/>
      <c r="O330" s="26"/>
      <c r="P330" s="26"/>
      <c r="S330" s="91"/>
      <c r="U330" s="26"/>
    </row>
    <row r="331" customHeight="1" spans="1:21">
      <c r="B331" s="26"/>
      <c r="C331" s="26"/>
      <c r="D331" s="26"/>
      <c r="E331" s="26"/>
      <c r="F331" s="26"/>
      <c r="G331" s="26"/>
      <c r="J331" s="26"/>
      <c r="K331" s="26"/>
      <c r="L331" s="26"/>
      <c r="M331" s="26"/>
      <c r="N331" s="26"/>
      <c r="O331" s="26"/>
      <c r="P331" s="26"/>
      <c r="S331" s="91"/>
      <c r="U331" s="26"/>
    </row>
    <row r="332" customHeight="1" spans="1:21">
      <c r="B332" s="26"/>
      <c r="C332" s="26"/>
      <c r="D332" s="26"/>
      <c r="E332" s="26"/>
      <c r="F332" s="26"/>
      <c r="G332" s="26"/>
      <c r="J332" s="26"/>
      <c r="K332" s="26"/>
      <c r="L332" s="26"/>
      <c r="M332" s="26"/>
      <c r="N332" s="26"/>
      <c r="O332" s="26"/>
      <c r="P332" s="26"/>
      <c r="S332" s="91"/>
    </row>
    <row r="333" customHeight="1" spans="1:21">
      <c r="B333" s="26"/>
      <c r="C333" s="26"/>
      <c r="D333" s="26"/>
      <c r="E333" s="26"/>
      <c r="F333" s="26"/>
      <c r="G333" s="26"/>
      <c r="J333" s="26"/>
      <c r="K333" s="26"/>
      <c r="L333" s="26"/>
      <c r="M333" s="26"/>
      <c r="N333" s="26"/>
      <c r="O333" s="99"/>
      <c r="P333" s="26"/>
      <c r="S333" s="91"/>
    </row>
    <row r="334" customHeight="1" spans="1:21">
      <c r="A334" s="101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</row>
    <row r="335" customHeight="1" spans="1:21">
      <c r="A335" s="101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</row>
    <row r="336" customHeight="1" spans="1:21">
      <c r="A336" s="101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</row>
    <row r="337" ht="28" customHeight="1" spans="1:22">
      <c r="A337" s="101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</row>
    <row r="338" ht="28" customHeight="1" spans="1:22">
      <c r="A338" s="101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</row>
    <row r="339" ht="27" customHeight="1" spans="1:22">
      <c r="D339" s="44"/>
      <c r="S339" s="91"/>
    </row>
    <row r="340" customHeight="1" spans="1:22">
      <c r="B340" s="20"/>
      <c r="D340" s="20"/>
      <c r="E340" s="20"/>
      <c r="F340" s="20"/>
      <c r="S340" s="91"/>
      <c r="V340" s="41"/>
    </row>
    <row r="341" customHeight="1" spans="1:22">
      <c r="O341" s="91"/>
      <c r="S341" s="91"/>
    </row>
    <row r="342" ht="30" customHeight="1" spans="1:22">
      <c r="O342" s="44"/>
      <c r="S342" s="90"/>
    </row>
    <row r="343" customHeight="1" spans="1:22">
      <c r="S343" s="91"/>
    </row>
    <row r="344" customHeight="1" spans="1:22">
      <c r="B344" s="26"/>
      <c r="C344" s="26"/>
      <c r="D344" s="26"/>
      <c r="E344" s="26"/>
      <c r="F344" s="26"/>
      <c r="G344" s="26"/>
      <c r="J344" s="26"/>
      <c r="K344" s="26"/>
      <c r="L344" s="26"/>
      <c r="M344" s="26"/>
      <c r="N344" s="26"/>
      <c r="O344" s="26"/>
      <c r="P344" s="26"/>
      <c r="S344" s="91"/>
      <c r="U344" s="26"/>
    </row>
    <row r="345" ht="28" customHeight="1" spans="1:22">
      <c r="H345" s="90"/>
      <c r="I345" s="26"/>
      <c r="O345" s="104"/>
      <c r="P345" s="26"/>
      <c r="S345" s="91"/>
      <c r="U345" s="26"/>
    </row>
    <row r="346" ht="27" customHeight="1" spans="1:22">
      <c r="B346" s="26"/>
      <c r="C346" s="26"/>
      <c r="D346" s="26"/>
      <c r="E346" s="26"/>
      <c r="F346" s="26"/>
      <c r="G346" s="26"/>
      <c r="J346" s="26"/>
      <c r="K346" s="26"/>
      <c r="L346" s="26"/>
      <c r="M346" s="26"/>
      <c r="N346" s="26"/>
      <c r="O346" s="26"/>
      <c r="P346" s="26"/>
      <c r="S346" s="91"/>
      <c r="U346" s="26"/>
    </row>
    <row r="347" ht="31" customHeight="1" spans="1:22">
      <c r="B347" s="26"/>
      <c r="C347" s="26"/>
      <c r="D347" s="29"/>
      <c r="E347" s="29"/>
      <c r="F347" s="26"/>
      <c r="G347" s="26"/>
      <c r="J347" s="26"/>
      <c r="K347" s="26"/>
      <c r="L347" s="26"/>
      <c r="M347" s="26"/>
      <c r="N347" s="26"/>
      <c r="O347" s="99"/>
      <c r="P347" s="26"/>
      <c r="S347" s="91"/>
      <c r="U347" s="26"/>
    </row>
    <row r="348" ht="32" customHeight="1" spans="1:22">
      <c r="A348" s="101"/>
      <c r="B348" s="89"/>
      <c r="C348" s="89"/>
      <c r="D348" s="89"/>
      <c r="E348" s="89"/>
      <c r="F348" s="89"/>
      <c r="G348" s="89"/>
      <c r="H348" s="106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</row>
    <row r="349" customHeight="1" spans="1:22">
      <c r="A349" s="101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</row>
    <row r="350" customHeight="1" spans="1:22">
      <c r="A350" s="101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</row>
    <row r="351" customHeight="1" spans="1:22">
      <c r="A351" s="101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</row>
    <row r="352" customHeight="1" spans="1:22">
      <c r="A352" s="101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</row>
    <row r="353" customHeight="1" spans="1:21">
      <c r="O353" s="26"/>
      <c r="S353" s="91"/>
    </row>
    <row r="354" ht="31" customHeight="1" spans="1:21">
      <c r="D354" s="44"/>
      <c r="E354" s="44"/>
      <c r="O354" s="26"/>
      <c r="S354" s="91"/>
      <c r="U354" s="26"/>
    </row>
    <row r="355" customHeight="1" spans="1:21">
      <c r="B355" s="26"/>
      <c r="C355" s="26"/>
      <c r="D355" s="29"/>
      <c r="E355" s="29"/>
      <c r="F355" s="26"/>
      <c r="G355" s="26"/>
      <c r="J355" s="26"/>
      <c r="L355" s="26"/>
      <c r="M355" s="26"/>
      <c r="N355" s="26"/>
      <c r="O355" s="29"/>
      <c r="P355" s="26"/>
      <c r="S355" s="91"/>
      <c r="U355" s="26"/>
    </row>
    <row r="356" customHeight="1" spans="1:21">
      <c r="B356" s="26"/>
      <c r="C356" s="26"/>
      <c r="D356" s="26"/>
      <c r="E356" s="26"/>
      <c r="F356" s="26"/>
      <c r="G356" s="26"/>
      <c r="J356" s="26"/>
      <c r="L356" s="26"/>
      <c r="M356" s="26"/>
      <c r="N356" s="26"/>
      <c r="O356" s="26"/>
      <c r="P356" s="26"/>
      <c r="S356" s="91"/>
      <c r="U356" s="26"/>
    </row>
    <row r="357" customHeight="1" spans="1:21">
      <c r="B357" s="26"/>
      <c r="C357" s="26"/>
      <c r="D357" s="26"/>
      <c r="E357" s="26"/>
      <c r="F357" s="26"/>
      <c r="G357" s="26"/>
      <c r="J357" s="26"/>
      <c r="L357" s="26"/>
      <c r="M357" s="26"/>
      <c r="N357" s="26"/>
      <c r="O357" s="26"/>
      <c r="P357" s="26"/>
      <c r="S357" s="91"/>
      <c r="U357" s="26"/>
    </row>
    <row r="358" customHeight="1" spans="1:21">
      <c r="B358" s="26"/>
      <c r="C358" s="26"/>
      <c r="D358" s="26"/>
      <c r="E358" s="26"/>
      <c r="F358" s="26"/>
      <c r="G358" s="26"/>
      <c r="J358" s="26"/>
      <c r="L358" s="26"/>
      <c r="M358" s="26"/>
      <c r="N358" s="26"/>
      <c r="O358" s="26"/>
      <c r="P358" s="26"/>
      <c r="Q358" s="26"/>
      <c r="R358" s="26"/>
      <c r="S358" s="26"/>
      <c r="U358" s="26"/>
    </row>
    <row r="359" ht="27" customHeight="1" spans="1:21">
      <c r="S359" s="91"/>
    </row>
    <row r="360" ht="33" customHeight="1" spans="1:21">
      <c r="D360" s="44"/>
      <c r="O360" s="44"/>
      <c r="S360" s="91"/>
    </row>
    <row r="361" ht="30" customHeight="1" spans="1:21">
      <c r="A361" s="101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</row>
    <row r="362" ht="31" customHeight="1" spans="1:21">
      <c r="A362" s="101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</row>
    <row r="363" customHeight="1" spans="1:21">
      <c r="A363" s="101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</row>
    <row r="364" ht="30" customHeight="1" spans="1:21">
      <c r="A364" s="101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</row>
    <row r="365" customHeight="1" spans="1:21">
      <c r="A365" s="101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</row>
    <row r="366" ht="27" customHeight="1" spans="1:21">
      <c r="B366" s="26"/>
      <c r="C366" s="26"/>
      <c r="D366" s="29"/>
      <c r="E366" s="29"/>
      <c r="F366" s="26"/>
      <c r="G366" s="26"/>
      <c r="J366" s="26"/>
      <c r="K366" s="26"/>
      <c r="L366" s="26"/>
      <c r="M366" s="26"/>
      <c r="N366" s="26"/>
      <c r="O366" s="29"/>
      <c r="P366" s="26"/>
      <c r="S366" s="91"/>
    </row>
    <row r="367" ht="27" customHeight="1" spans="1:21">
      <c r="B367" s="26"/>
      <c r="C367" s="26"/>
      <c r="D367" s="29"/>
      <c r="E367" s="29"/>
      <c r="F367" s="26"/>
      <c r="G367" s="26"/>
      <c r="J367" s="26"/>
      <c r="K367" s="26"/>
      <c r="L367" s="26"/>
      <c r="M367" s="26"/>
      <c r="N367" s="26"/>
      <c r="O367" s="29"/>
      <c r="P367" s="26"/>
      <c r="S367" s="91"/>
    </row>
    <row r="368" customHeight="1" spans="1:21">
      <c r="S368" s="91"/>
    </row>
    <row r="369" customHeight="1" spans="1:21">
      <c r="B369" s="26"/>
      <c r="C369" s="26"/>
      <c r="D369" s="26"/>
      <c r="E369" s="26"/>
      <c r="F369" s="26"/>
      <c r="G369" s="26"/>
      <c r="J369" s="26"/>
      <c r="K369" s="26"/>
      <c r="L369" s="26"/>
      <c r="M369" s="26"/>
      <c r="N369" s="26"/>
      <c r="O369" s="26"/>
      <c r="P369" s="26"/>
      <c r="S369" s="91"/>
      <c r="U369" s="26"/>
    </row>
    <row r="370" ht="30" customHeight="1" spans="1:21">
      <c r="B370" s="26"/>
      <c r="C370" s="26"/>
      <c r="D370" s="29"/>
      <c r="E370" s="29"/>
      <c r="F370" s="26"/>
      <c r="G370" s="26"/>
      <c r="J370" s="26"/>
      <c r="K370" s="26"/>
      <c r="L370" s="26"/>
      <c r="M370" s="26"/>
      <c r="N370" s="26"/>
      <c r="O370" s="91"/>
      <c r="P370" s="26"/>
      <c r="S370" s="90"/>
      <c r="U370" s="26"/>
    </row>
    <row r="371" customHeight="1" spans="1:21">
      <c r="B371" s="26"/>
      <c r="C371" s="26"/>
      <c r="D371" s="26"/>
      <c r="E371" s="26"/>
      <c r="F371" s="26"/>
      <c r="G371" s="26"/>
      <c r="J371" s="26"/>
      <c r="K371" s="26"/>
      <c r="L371" s="26"/>
      <c r="M371" s="26"/>
      <c r="N371" s="26"/>
      <c r="O371" s="26"/>
      <c r="P371" s="26"/>
      <c r="U371" s="26"/>
    </row>
    <row r="372" customHeight="1" spans="1:21">
      <c r="B372" s="26"/>
      <c r="C372" s="26"/>
      <c r="D372" s="26"/>
      <c r="E372" s="26"/>
      <c r="F372" s="26"/>
      <c r="G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U372" s="26"/>
    </row>
    <row r="373" customHeight="1" spans="1:21">
      <c r="A373" s="101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</row>
    <row r="374" customHeight="1" spans="1:21">
      <c r="A374" s="101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</row>
    <row r="375" customHeight="1" spans="1:21">
      <c r="A375" s="101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</row>
    <row r="376" customHeight="1" spans="1:21">
      <c r="A376" s="101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</row>
    <row r="377" customHeight="1" spans="1:21">
      <c r="A377" s="101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</row>
    <row r="378" customHeight="1" spans="1:21">
      <c r="A378" s="100"/>
      <c r="B378" s="26"/>
      <c r="C378" s="26"/>
      <c r="D378" s="26"/>
      <c r="E378" s="26"/>
      <c r="F378" s="26"/>
      <c r="G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 customHeight="1" spans="1:21">
      <c r="A379" s="100"/>
      <c r="B379" s="26"/>
      <c r="C379" s="26"/>
      <c r="D379" s="26"/>
      <c r="E379" s="26"/>
      <c r="F379" s="26"/>
      <c r="G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 customHeight="1" spans="1:21">
      <c r="A380" s="100"/>
      <c r="I380" s="26"/>
    </row>
    <row r="381" ht="31" customHeight="1" spans="1:21">
      <c r="A381" s="100"/>
      <c r="O381" s="104"/>
      <c r="Q381" s="26"/>
      <c r="R381" s="26"/>
      <c r="S381" s="26"/>
      <c r="T381" s="26"/>
    </row>
    <row r="382" customHeight="1" spans="1:21">
      <c r="A382" s="100"/>
      <c r="O382" s="44"/>
    </row>
    <row r="383" customHeight="1" spans="1:21">
      <c r="A383" s="100"/>
      <c r="O383" s="92"/>
    </row>
    <row r="384" ht="36" customHeight="1" spans="1:21">
      <c r="A384" s="100"/>
      <c r="D384" s="44"/>
      <c r="E384" s="44"/>
      <c r="O384" s="44"/>
      <c r="Q384" s="26"/>
      <c r="R384" s="26"/>
      <c r="S384" s="26"/>
      <c r="T384" s="26"/>
    </row>
    <row r="385" customHeight="1" spans="1:21">
      <c r="A385" s="100"/>
      <c r="Q385" s="26"/>
      <c r="R385" s="26"/>
      <c r="S385" s="26"/>
      <c r="T385" s="26"/>
    </row>
    <row r="386" customHeight="1" spans="1:21">
      <c r="A386" s="100"/>
      <c r="Q386" s="26"/>
      <c r="R386" s="26"/>
      <c r="S386" s="26"/>
      <c r="T386" s="26"/>
    </row>
    <row r="387" customHeight="1" spans="1:21">
      <c r="A387" s="100"/>
      <c r="O387" s="90"/>
    </row>
    <row r="388" customHeight="1" spans="1:21">
      <c r="A388" s="100"/>
      <c r="B388" s="26"/>
      <c r="C388" s="26"/>
      <c r="D388" s="26"/>
      <c r="E388" s="26"/>
      <c r="F388" s="26"/>
      <c r="G388" s="26"/>
      <c r="I388" s="26"/>
      <c r="J388" s="26"/>
      <c r="K388" s="26"/>
      <c r="L388" s="26"/>
      <c r="M388" s="26"/>
      <c r="N388" s="26"/>
      <c r="O388" s="26"/>
      <c r="P388" s="26"/>
      <c r="T388" s="26"/>
      <c r="U388" s="26"/>
    </row>
    <row r="389" customHeight="1" spans="1:21">
      <c r="A389" s="101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</row>
    <row r="390" ht="30" customHeight="1" spans="1:21">
      <c r="A390" s="101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</row>
    <row r="391" ht="26" customHeight="1" spans="1:21">
      <c r="A391" s="101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</row>
    <row r="392" ht="27" customHeight="1" spans="1:21">
      <c r="A392" s="101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</row>
    <row r="393" customHeight="1" spans="1:21">
      <c r="A393" s="101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</row>
    <row r="394" customHeight="1" spans="1:21">
      <c r="A394" s="100"/>
      <c r="B394" s="26"/>
      <c r="C394" s="26"/>
      <c r="D394" s="26"/>
      <c r="E394" s="26"/>
      <c r="F394" s="26"/>
      <c r="G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 customHeight="1" spans="1:21">
      <c r="A395" s="100"/>
      <c r="B395" s="26"/>
      <c r="C395" s="26"/>
      <c r="D395" s="29"/>
      <c r="E395" s="29"/>
      <c r="F395" s="26"/>
      <c r="G395" s="26"/>
      <c r="I395" s="26"/>
      <c r="J395" s="26"/>
      <c r="K395" s="26"/>
      <c r="L395" s="26"/>
      <c r="M395" s="26"/>
      <c r="N395" s="26"/>
      <c r="O395" s="99"/>
      <c r="P395" s="26"/>
      <c r="Q395" s="26"/>
      <c r="R395" s="26"/>
      <c r="S395" s="26"/>
      <c r="T395" s="26"/>
    </row>
    <row r="396" customHeight="1" spans="1:21">
      <c r="A396" s="100"/>
      <c r="C396" s="26"/>
      <c r="I396" s="26"/>
      <c r="Q396" s="26"/>
      <c r="R396" s="26"/>
      <c r="S396" s="26"/>
      <c r="T396" s="26"/>
    </row>
    <row r="397" ht="28" customHeight="1" spans="1:21">
      <c r="A397" s="100"/>
      <c r="B397" s="105"/>
      <c r="I397" s="26"/>
      <c r="J397" s="91"/>
      <c r="O397" s="92"/>
      <c r="T397" s="26"/>
    </row>
    <row r="398" customHeight="1" spans="1:21">
      <c r="A398" s="100"/>
      <c r="I398" s="26"/>
      <c r="O398" s="99"/>
      <c r="T398" s="26"/>
    </row>
    <row r="399" ht="26" customHeight="1" spans="1:21">
      <c r="A399" s="100"/>
      <c r="B399" s="26"/>
      <c r="C399" s="26"/>
      <c r="D399" s="29"/>
      <c r="E399" s="29"/>
      <c r="F399" s="26"/>
      <c r="G399" s="26"/>
      <c r="O399" s="26"/>
      <c r="P399" s="26"/>
      <c r="Q399" s="26"/>
      <c r="S399" s="26"/>
      <c r="T399" s="26"/>
    </row>
    <row r="400" ht="31" customHeight="1" spans="1:21">
      <c r="A400" s="100"/>
      <c r="I400" s="26"/>
      <c r="O400" s="44"/>
      <c r="T400" s="26"/>
    </row>
    <row r="401" ht="32" customHeight="1" spans="1:21">
      <c r="A401" s="100"/>
      <c r="B401" s="26"/>
      <c r="C401" s="26"/>
      <c r="D401" s="29"/>
      <c r="E401" s="26"/>
      <c r="F401" s="26"/>
      <c r="G401" s="26"/>
      <c r="I401" s="26"/>
      <c r="J401" s="26"/>
      <c r="K401" s="26"/>
      <c r="L401" s="26"/>
      <c r="M401" s="26"/>
      <c r="N401" s="26"/>
      <c r="O401" s="29"/>
      <c r="P401" s="26"/>
      <c r="T401" s="26"/>
    </row>
    <row r="402" ht="31" customHeight="1" spans="1:21">
      <c r="A402" s="100"/>
      <c r="B402" s="26"/>
      <c r="C402" s="26"/>
      <c r="D402" s="29"/>
      <c r="E402" s="26"/>
      <c r="F402" s="26"/>
      <c r="G402" s="26"/>
      <c r="I402" s="26"/>
      <c r="J402" s="26"/>
      <c r="K402" s="26"/>
      <c r="L402" s="26"/>
      <c r="M402" s="26"/>
      <c r="N402" s="26"/>
      <c r="O402" s="99"/>
      <c r="P402" s="26"/>
      <c r="Q402" s="26"/>
      <c r="S402" s="26"/>
      <c r="T402" s="26"/>
    </row>
    <row r="403" ht="28" customHeight="1" spans="1:21">
      <c r="A403" s="100"/>
      <c r="B403" s="26"/>
      <c r="C403" s="26"/>
      <c r="D403" s="29"/>
      <c r="E403" s="26"/>
      <c r="F403" s="26"/>
      <c r="G403" s="26"/>
      <c r="I403" s="26"/>
      <c r="J403" s="26"/>
      <c r="K403" s="26"/>
      <c r="L403" s="26"/>
      <c r="M403" s="26"/>
      <c r="N403" s="26"/>
      <c r="O403" s="99"/>
      <c r="P403" s="26"/>
      <c r="Q403" s="26"/>
      <c r="S403" s="26"/>
      <c r="T403" s="26"/>
    </row>
    <row r="404" customHeight="1" spans="1:21">
      <c r="A404" s="100"/>
      <c r="B404" s="26"/>
      <c r="C404" s="26"/>
      <c r="D404" s="29"/>
      <c r="E404" s="26"/>
      <c r="F404" s="26"/>
      <c r="G404" s="26"/>
      <c r="I404" s="26"/>
      <c r="J404" s="26"/>
      <c r="K404" s="26"/>
      <c r="L404" s="26"/>
      <c r="M404" s="26"/>
      <c r="N404" s="26"/>
      <c r="O404" s="99"/>
      <c r="P404" s="26"/>
      <c r="Q404" s="26"/>
      <c r="S404" s="26"/>
      <c r="T404" s="26"/>
    </row>
    <row r="405" customHeight="1" spans="1:21">
      <c r="A405" s="100"/>
      <c r="B405" s="26"/>
      <c r="C405" s="26"/>
      <c r="D405" s="29"/>
      <c r="E405" s="26"/>
      <c r="F405" s="26"/>
      <c r="G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 ht="28" customHeight="1" spans="1:21">
      <c r="A406" s="100"/>
      <c r="C406" s="26"/>
      <c r="I406" s="26"/>
      <c r="O406" s="99"/>
      <c r="Q406" s="26"/>
      <c r="R406" s="26"/>
      <c r="S406" s="26"/>
      <c r="T406" s="26"/>
    </row>
    <row r="407" ht="28" customHeight="1" spans="1:21">
      <c r="A407" s="100"/>
      <c r="C407" s="26"/>
      <c r="D407" s="44"/>
      <c r="E407" s="44"/>
      <c r="I407" s="26"/>
      <c r="Q407" s="26"/>
      <c r="S407" s="26"/>
      <c r="T407" s="26"/>
    </row>
    <row r="408" customHeight="1" spans="1:21">
      <c r="A408" s="100"/>
      <c r="B408" s="26"/>
      <c r="C408" s="26"/>
      <c r="D408" s="26"/>
      <c r="E408" s="26"/>
      <c r="F408" s="26"/>
      <c r="G408" s="26"/>
      <c r="I408" s="26"/>
      <c r="J408" s="26"/>
      <c r="K408" s="26"/>
      <c r="L408" s="26"/>
      <c r="M408" s="26"/>
      <c r="N408" s="26"/>
      <c r="O408" s="99"/>
      <c r="P408" s="26"/>
      <c r="Q408" s="26"/>
      <c r="S408" s="26"/>
      <c r="T408" s="26"/>
      <c r="U408" s="26"/>
    </row>
    <row r="409" customHeight="1" spans="1:21">
      <c r="A409" s="100"/>
      <c r="B409" s="26"/>
      <c r="C409" s="26"/>
      <c r="D409" s="29"/>
      <c r="E409" s="26"/>
      <c r="F409" s="26"/>
      <c r="G409" s="26"/>
      <c r="I409" s="26"/>
      <c r="J409" s="26"/>
      <c r="K409" s="26"/>
      <c r="L409" s="26"/>
      <c r="M409" s="26"/>
      <c r="N409" s="26"/>
      <c r="O409" s="99"/>
      <c r="P409" s="26"/>
      <c r="Q409" s="26"/>
      <c r="S409" s="26"/>
      <c r="T409" s="26"/>
      <c r="U409" s="26"/>
    </row>
    <row r="410" customHeight="1" spans="1:21">
      <c r="A410" s="100"/>
      <c r="C410" s="26"/>
      <c r="D410" s="26"/>
      <c r="E410" s="26"/>
      <c r="F410" s="26"/>
      <c r="G410" s="26"/>
      <c r="I410" s="26"/>
      <c r="J410" s="26"/>
      <c r="K410" s="26"/>
      <c r="L410" s="26"/>
      <c r="M410" s="26"/>
      <c r="N410" s="26"/>
      <c r="O410" s="99"/>
      <c r="P410" s="26"/>
      <c r="Q410" s="26"/>
      <c r="S410" s="26"/>
      <c r="T410" s="26"/>
      <c r="U410" s="26"/>
    </row>
    <row r="411" ht="28" customHeight="1" spans="1:21">
      <c r="A411" s="100"/>
      <c r="B411" s="26"/>
      <c r="C411" s="26"/>
      <c r="D411" s="26"/>
      <c r="E411" s="26"/>
      <c r="F411" s="26"/>
      <c r="G411" s="26"/>
      <c r="J411" s="26"/>
      <c r="K411" s="26"/>
      <c r="L411" s="26"/>
      <c r="M411" s="26"/>
      <c r="N411" s="26"/>
      <c r="O411" s="104"/>
      <c r="P411" s="26"/>
      <c r="U411" s="26"/>
    </row>
    <row r="412" ht="29" customHeight="1" spans="1:21">
      <c r="A412" s="100"/>
      <c r="B412" s="26"/>
      <c r="C412" s="26"/>
      <c r="D412" s="29"/>
      <c r="E412" s="29"/>
      <c r="F412" s="26"/>
      <c r="G412" s="26"/>
      <c r="J412" s="26"/>
      <c r="K412" s="26"/>
      <c r="L412" s="26"/>
      <c r="M412" s="26"/>
      <c r="N412" s="26"/>
      <c r="P412" s="26"/>
      <c r="Q412" s="26"/>
      <c r="S412" s="26"/>
      <c r="T412" s="26"/>
      <c r="U412" s="26"/>
    </row>
    <row r="413" ht="27" customHeight="1" spans="1:21">
      <c r="A413" s="100"/>
      <c r="B413" s="26"/>
      <c r="C413" s="26"/>
      <c r="D413" s="29"/>
      <c r="E413" s="29"/>
      <c r="F413" s="26"/>
      <c r="G413" s="26"/>
      <c r="J413" s="26"/>
      <c r="K413" s="26"/>
      <c r="O413" s="44"/>
      <c r="Q413" s="26"/>
      <c r="S413" s="26"/>
      <c r="T413" s="26"/>
    </row>
    <row r="414" ht="33" customHeight="1" spans="1:21">
      <c r="A414" s="100"/>
      <c r="C414" s="26"/>
      <c r="D414" s="44"/>
      <c r="J414" s="26"/>
      <c r="K414" s="26"/>
      <c r="O414" s="44"/>
      <c r="Q414" s="26"/>
      <c r="S414" s="26"/>
      <c r="T414" s="26"/>
    </row>
    <row r="415" customHeight="1" spans="1:21">
      <c r="A415" s="100"/>
      <c r="B415" s="26"/>
      <c r="C415" s="26"/>
      <c r="D415" s="26"/>
      <c r="E415" s="26"/>
      <c r="F415" s="26"/>
      <c r="G415" s="26"/>
      <c r="J415" s="26"/>
      <c r="K415" s="26"/>
      <c r="L415" s="26"/>
      <c r="M415" s="26"/>
      <c r="N415" s="26"/>
      <c r="O415" s="99"/>
      <c r="P415" s="26"/>
      <c r="Q415" s="26"/>
      <c r="S415" s="26"/>
      <c r="T415" s="26"/>
    </row>
    <row r="416" ht="27" customHeight="1" spans="1:21">
      <c r="A416" s="100"/>
      <c r="B416" s="26"/>
      <c r="C416" s="26"/>
      <c r="D416" s="26"/>
      <c r="E416" s="26"/>
      <c r="F416" s="26"/>
      <c r="G416" s="26"/>
      <c r="J416" s="26"/>
      <c r="K416" s="26"/>
      <c r="L416" s="26"/>
      <c r="M416" s="26"/>
      <c r="N416" s="26"/>
      <c r="O416" s="99"/>
      <c r="P416" s="26"/>
      <c r="Q416" s="26"/>
      <c r="S416" s="26"/>
      <c r="T416" s="26"/>
    </row>
    <row r="417" ht="28" customHeight="1" spans="1:21">
      <c r="A417" s="100"/>
      <c r="B417" s="26"/>
      <c r="C417" s="26"/>
      <c r="D417" s="26"/>
      <c r="E417" s="26"/>
      <c r="F417" s="26"/>
      <c r="G417" s="26"/>
      <c r="J417" s="26"/>
      <c r="K417" s="26"/>
      <c r="L417" s="26"/>
      <c r="M417" s="26"/>
      <c r="N417" s="26"/>
      <c r="O417" s="26"/>
      <c r="P417" s="26"/>
      <c r="Q417" s="26"/>
      <c r="S417" s="26"/>
      <c r="T417" s="26"/>
    </row>
    <row r="418" ht="27" customHeight="1" spans="1:21">
      <c r="A418" s="100"/>
      <c r="B418" s="26"/>
      <c r="C418" s="26"/>
      <c r="D418" s="29"/>
      <c r="E418" s="26"/>
      <c r="F418" s="26"/>
      <c r="G418" s="26"/>
      <c r="J418" s="26"/>
      <c r="K418" s="26"/>
      <c r="L418" s="26"/>
      <c r="M418" s="26"/>
      <c r="N418" s="26"/>
      <c r="O418" s="26"/>
      <c r="P418" s="26"/>
      <c r="Q418" s="26"/>
      <c r="S418" s="26"/>
      <c r="T418" s="26"/>
    </row>
    <row r="419" ht="28" customHeight="1" spans="1:21">
      <c r="A419" s="100"/>
      <c r="B419" s="26"/>
      <c r="C419" s="26"/>
      <c r="D419" s="29"/>
      <c r="E419" s="29"/>
      <c r="F419" s="26"/>
      <c r="G419" s="26"/>
      <c r="J419" s="26"/>
      <c r="K419" s="26"/>
      <c r="L419" s="26"/>
      <c r="M419" s="26"/>
      <c r="N419" s="26"/>
      <c r="O419" s="26"/>
      <c r="P419" s="26"/>
      <c r="Q419" s="26"/>
      <c r="S419" s="26"/>
      <c r="T419" s="26"/>
    </row>
    <row r="420" ht="29" customHeight="1" spans="1:21">
      <c r="A420" s="100"/>
      <c r="K420" s="26"/>
      <c r="O420" s="44"/>
      <c r="Q420" s="26"/>
      <c r="S420" s="97"/>
      <c r="T420" s="26"/>
    </row>
    <row r="421" ht="37" customHeight="1" spans="1:21">
      <c r="A421" s="100"/>
      <c r="D421" s="44"/>
      <c r="E421" s="44"/>
      <c r="Q421" s="26"/>
      <c r="S421" s="38"/>
      <c r="T421" s="26"/>
    </row>
    <row r="422" ht="30" customHeight="1" spans="1:21">
      <c r="A422" s="100"/>
      <c r="Q422" s="26"/>
      <c r="S422" s="26"/>
      <c r="T422" s="26"/>
    </row>
    <row r="423" ht="32" customHeight="1" spans="1:21">
      <c r="A423" s="100"/>
      <c r="B423" s="30"/>
      <c r="D423" s="91"/>
      <c r="O423" s="92"/>
      <c r="P423" s="92"/>
      <c r="Q423" s="26"/>
      <c r="S423" s="26"/>
      <c r="T423" s="26"/>
    </row>
    <row r="424" ht="31" customHeight="1" spans="1:21">
      <c r="A424" s="100"/>
      <c r="B424" s="26"/>
      <c r="C424" s="26"/>
      <c r="D424" s="26"/>
      <c r="E424" s="26"/>
      <c r="F424" s="26"/>
      <c r="G424" s="26"/>
      <c r="O424" s="99"/>
      <c r="P424" s="44"/>
      <c r="Q424" s="26"/>
      <c r="S424" s="26"/>
      <c r="T424" s="26"/>
    </row>
    <row r="425" customHeight="1" spans="1:21">
      <c r="A425" s="100"/>
      <c r="O425" s="91"/>
      <c r="T425" s="26"/>
    </row>
    <row r="426" ht="36" customHeight="1" spans="1:21">
      <c r="A426" s="100"/>
      <c r="D426" s="44"/>
      <c r="E426" s="44"/>
      <c r="Q426" s="26"/>
      <c r="S426" s="26"/>
      <c r="T426" s="26"/>
    </row>
    <row r="427" customHeight="1" spans="1:21">
      <c r="A427" s="100"/>
      <c r="B427" s="26"/>
      <c r="C427" s="26"/>
      <c r="D427" s="26"/>
      <c r="E427" s="26"/>
      <c r="F427" s="26"/>
      <c r="G427" s="26"/>
      <c r="J427" s="26"/>
      <c r="K427" s="26"/>
      <c r="L427" s="26"/>
      <c r="M427" s="26"/>
      <c r="N427" s="26"/>
      <c r="O427" s="99"/>
      <c r="P427" s="26"/>
      <c r="Q427" s="26"/>
      <c r="S427" s="26"/>
      <c r="T427" s="26"/>
    </row>
    <row r="428" customHeight="1" spans="1:21">
      <c r="A428" s="100"/>
      <c r="B428" s="26"/>
      <c r="C428" s="26"/>
      <c r="D428" s="26"/>
      <c r="E428" s="26"/>
      <c r="F428" s="26"/>
      <c r="G428" s="26"/>
      <c r="L428" s="26"/>
      <c r="M428" s="26"/>
      <c r="N428" s="26"/>
      <c r="O428" s="99"/>
      <c r="P428" s="26"/>
      <c r="Q428" s="26"/>
      <c r="S428" s="26"/>
      <c r="T428" s="26"/>
    </row>
    <row r="429" customHeight="1" spans="1:21">
      <c r="A429" s="100"/>
      <c r="B429" s="26"/>
      <c r="C429" s="26"/>
      <c r="D429" s="26"/>
      <c r="E429" s="26"/>
      <c r="F429" s="26"/>
      <c r="G429" s="26"/>
      <c r="J429" s="26"/>
      <c r="L429" s="26"/>
      <c r="M429" s="26"/>
      <c r="N429" s="26"/>
      <c r="O429" s="26"/>
      <c r="P429" s="26"/>
      <c r="Q429" s="26"/>
      <c r="S429" s="26"/>
      <c r="T429" s="26"/>
      <c r="U429" s="26"/>
    </row>
    <row r="430" ht="27" customHeight="1" spans="1:21">
      <c r="A430" s="100"/>
      <c r="B430" s="26"/>
      <c r="C430" s="26"/>
      <c r="D430" s="29"/>
      <c r="E430" s="26"/>
      <c r="F430" s="26"/>
      <c r="G430" s="26"/>
      <c r="J430" s="26"/>
      <c r="K430" s="26"/>
      <c r="L430" s="26"/>
      <c r="M430" s="26"/>
      <c r="N430" s="26"/>
      <c r="O430" s="29"/>
      <c r="P430" s="26"/>
      <c r="Q430" s="26"/>
      <c r="S430" s="26"/>
      <c r="T430" s="26"/>
      <c r="U430" s="26"/>
    </row>
    <row r="431" ht="31" customHeight="1" spans="1:21">
      <c r="A431" s="100"/>
      <c r="B431" s="26"/>
      <c r="C431" s="26"/>
      <c r="D431" s="29"/>
      <c r="E431" s="26"/>
      <c r="F431" s="26"/>
      <c r="G431" s="26"/>
      <c r="J431" s="26"/>
      <c r="K431" s="26"/>
      <c r="L431" s="26"/>
      <c r="M431" s="26"/>
      <c r="N431" s="26"/>
      <c r="O431" s="26"/>
      <c r="P431" s="26"/>
      <c r="Q431" s="26"/>
      <c r="S431" s="26"/>
      <c r="T431" s="26"/>
      <c r="U431" s="26"/>
    </row>
    <row r="432" ht="31" customHeight="1" spans="1:21">
      <c r="A432" s="100"/>
      <c r="B432" s="26"/>
      <c r="C432" s="26"/>
      <c r="D432" s="107"/>
      <c r="E432" s="108"/>
      <c r="F432" s="108"/>
      <c r="G432" s="108"/>
      <c r="J432" s="26"/>
      <c r="K432" s="26"/>
      <c r="L432" s="26"/>
      <c r="M432" s="26"/>
      <c r="N432" s="26"/>
      <c r="O432" s="26"/>
      <c r="P432" s="26"/>
      <c r="Q432" s="26"/>
      <c r="S432" s="26"/>
      <c r="T432" s="26"/>
      <c r="U432" s="26"/>
    </row>
    <row r="433" customHeight="1" spans="1:21">
      <c r="A433" s="100"/>
      <c r="B433" s="26"/>
      <c r="C433" s="26"/>
      <c r="D433" s="108"/>
      <c r="E433" s="108"/>
      <c r="F433" s="108"/>
      <c r="G433" s="108"/>
      <c r="J433" s="26"/>
      <c r="K433" s="26"/>
      <c r="L433" s="26"/>
      <c r="M433" s="26"/>
      <c r="N433" s="26"/>
      <c r="O433" s="26"/>
      <c r="P433" s="26"/>
      <c r="Q433" s="26"/>
      <c r="S433" s="26"/>
      <c r="T433" s="26"/>
      <c r="U433" s="26"/>
    </row>
    <row r="434" customHeight="1" spans="1:21">
      <c r="A434" s="100"/>
      <c r="B434" s="26"/>
      <c r="C434" s="26"/>
      <c r="D434" s="108"/>
      <c r="E434" s="108"/>
      <c r="F434" s="108"/>
      <c r="G434" s="108"/>
      <c r="J434" s="26"/>
      <c r="K434" s="26"/>
      <c r="L434" s="26"/>
      <c r="M434" s="26"/>
      <c r="N434" s="26"/>
      <c r="O434" s="92"/>
      <c r="P434" s="26"/>
      <c r="T434" s="26"/>
      <c r="U434" s="26"/>
    </row>
    <row r="435" customHeight="1" spans="1:21">
      <c r="A435" s="101"/>
      <c r="B435" s="89"/>
      <c r="C435" s="89"/>
      <c r="D435" s="109"/>
      <c r="E435" s="109"/>
      <c r="F435" s="109"/>
      <c r="G435" s="10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</row>
    <row r="436" customHeight="1" spans="1:21">
      <c r="A436" s="101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</row>
    <row r="437" customHeight="1" spans="1:21">
      <c r="A437" s="101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</row>
    <row r="438" customHeight="1" spans="1:21">
      <c r="A438" s="101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</row>
    <row r="439" customHeight="1" spans="1:21">
      <c r="A439" s="101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</row>
    <row r="440" ht="28" customHeight="1" spans="1:21">
      <c r="A440" s="100"/>
      <c r="B440" s="26"/>
      <c r="C440" s="26"/>
      <c r="D440" s="26"/>
      <c r="E440" s="26"/>
      <c r="F440" s="26"/>
      <c r="G440" s="26"/>
      <c r="J440" s="26"/>
      <c r="K440" s="26"/>
      <c r="L440" s="26"/>
      <c r="M440" s="26"/>
      <c r="N440" s="26"/>
      <c r="O440" s="26"/>
      <c r="P440" s="26"/>
      <c r="Q440" s="26"/>
      <c r="S440" s="26"/>
      <c r="T440" s="26"/>
    </row>
    <row r="441" ht="30" customHeight="1" spans="1:21">
      <c r="A441" s="100"/>
      <c r="B441" s="26"/>
      <c r="C441" s="26"/>
      <c r="D441" s="29"/>
      <c r="E441" s="26"/>
      <c r="F441" s="26"/>
      <c r="G441" s="26"/>
      <c r="J441" s="26"/>
      <c r="K441" s="26"/>
      <c r="L441" s="26"/>
      <c r="M441" s="26"/>
      <c r="N441" s="26"/>
      <c r="O441" s="26"/>
      <c r="P441" s="26"/>
      <c r="Q441" s="26"/>
      <c r="S441" s="26"/>
      <c r="T441" s="26"/>
    </row>
    <row r="442" ht="26" customHeight="1" spans="1:21">
      <c r="A442" s="100"/>
      <c r="B442" s="26"/>
      <c r="C442" s="26"/>
      <c r="D442" s="26"/>
      <c r="E442" s="26"/>
      <c r="F442" s="26"/>
      <c r="G442" s="26"/>
      <c r="J442" s="26"/>
      <c r="K442" s="26"/>
      <c r="L442" s="26"/>
      <c r="M442" s="26"/>
      <c r="N442" s="26"/>
      <c r="O442" s="26"/>
      <c r="P442" s="26"/>
      <c r="Q442" s="26"/>
      <c r="S442" s="26"/>
      <c r="T442" s="26"/>
    </row>
    <row r="443" ht="33" customHeight="1" spans="1:21">
      <c r="A443" s="100"/>
      <c r="C443" s="26"/>
      <c r="D443" s="44"/>
      <c r="O443" s="44"/>
      <c r="Q443" s="26"/>
      <c r="S443" s="26"/>
      <c r="T443" s="26"/>
    </row>
    <row r="444" ht="37" customHeight="1" spans="1:21">
      <c r="A444" s="100"/>
      <c r="C444" s="26"/>
      <c r="D444" s="44"/>
      <c r="O444" s="44"/>
      <c r="Q444" s="26"/>
      <c r="S444" s="26"/>
      <c r="T444" s="26"/>
    </row>
    <row r="445" ht="31" customHeight="1" spans="1:21">
      <c r="A445" s="100"/>
      <c r="C445" s="26"/>
      <c r="D445" s="44"/>
      <c r="Q445" s="26"/>
      <c r="S445" s="26"/>
      <c r="T445" s="26"/>
    </row>
    <row r="446" ht="32" customHeight="1" spans="1:21">
      <c r="A446" s="100"/>
      <c r="C446" s="26"/>
      <c r="D446" s="44"/>
      <c r="E446" s="44"/>
      <c r="Q446" s="26"/>
      <c r="S446" s="26"/>
      <c r="T446" s="26"/>
    </row>
    <row r="447" ht="34" customHeight="1" spans="1:21">
      <c r="A447" s="100"/>
      <c r="C447" s="26"/>
      <c r="O447" s="44"/>
      <c r="Q447" s="26"/>
      <c r="S447" s="26"/>
      <c r="T447" s="26"/>
    </row>
    <row r="448" customHeight="1" spans="1:21">
      <c r="A448" s="100"/>
      <c r="B448" s="26"/>
      <c r="C448" s="26"/>
      <c r="D448" s="29"/>
      <c r="E448" s="29"/>
      <c r="F448" s="26"/>
      <c r="G448" s="26"/>
      <c r="J448" s="26"/>
      <c r="K448" s="26"/>
      <c r="L448" s="26"/>
      <c r="M448" s="26"/>
      <c r="N448" s="26"/>
      <c r="O448" s="26"/>
      <c r="P448" s="26"/>
      <c r="U448" s="26"/>
    </row>
    <row r="449" customHeight="1" spans="1:21">
      <c r="A449" s="100"/>
      <c r="B449" s="26"/>
      <c r="C449" s="26"/>
      <c r="D449" s="26"/>
      <c r="E449" s="26"/>
      <c r="F449" s="26"/>
      <c r="G449" s="26"/>
      <c r="J449" s="26"/>
      <c r="K449" s="26"/>
      <c r="L449" s="26"/>
      <c r="M449" s="26"/>
      <c r="N449" s="26"/>
      <c r="O449" s="26"/>
      <c r="P449" s="26"/>
      <c r="Q449" s="26"/>
      <c r="S449" s="26"/>
      <c r="T449" s="26"/>
      <c r="U449" s="26"/>
    </row>
    <row r="450" customHeight="1" spans="1:21">
      <c r="A450" s="100"/>
      <c r="B450" s="26"/>
      <c r="C450" s="26"/>
      <c r="D450" s="29"/>
      <c r="E450" s="26"/>
      <c r="F450" s="26"/>
      <c r="G450" s="26"/>
      <c r="J450" s="26"/>
      <c r="K450" s="26"/>
      <c r="L450" s="26"/>
      <c r="M450" s="26"/>
      <c r="N450" s="26"/>
      <c r="O450" s="26"/>
      <c r="P450" s="26"/>
      <c r="Q450" s="26"/>
      <c r="S450" s="26"/>
      <c r="T450" s="26"/>
      <c r="U450" s="26"/>
    </row>
    <row r="451" customHeight="1" spans="1:21">
      <c r="A451" s="100"/>
      <c r="B451" s="26"/>
      <c r="C451" s="26"/>
      <c r="D451" s="26"/>
      <c r="E451" s="26"/>
      <c r="F451" s="26"/>
      <c r="G451" s="26"/>
      <c r="J451" s="26"/>
      <c r="K451" s="26"/>
      <c r="L451" s="26"/>
      <c r="M451" s="26"/>
      <c r="N451" s="26"/>
      <c r="O451" s="29"/>
      <c r="P451" s="26"/>
      <c r="Q451" s="26"/>
      <c r="S451" s="26"/>
      <c r="T451" s="26"/>
      <c r="U451" s="26"/>
    </row>
    <row r="452" ht="27" customHeight="1" spans="1:21">
      <c r="A452" s="100"/>
      <c r="D452" s="44"/>
      <c r="E452" s="44"/>
      <c r="K452" s="26"/>
      <c r="Q452" s="26"/>
      <c r="S452" s="26"/>
      <c r="T452" s="26"/>
    </row>
    <row r="453" customHeight="1" spans="1:21">
      <c r="A453" s="100"/>
      <c r="K453" s="26"/>
      <c r="Q453" s="26"/>
      <c r="S453" s="26"/>
      <c r="T453" s="26"/>
    </row>
    <row r="454" ht="31" customHeight="1" spans="1:21">
      <c r="A454" s="100"/>
      <c r="O454" s="44"/>
      <c r="Q454" s="26"/>
      <c r="S454" s="26"/>
      <c r="T454" s="26"/>
    </row>
    <row r="455" ht="33" customHeight="1" spans="1:21">
      <c r="A455" s="100"/>
      <c r="D455" s="44"/>
      <c r="Q455" s="26"/>
      <c r="S455" s="26"/>
      <c r="T455" s="26"/>
    </row>
    <row r="456" customHeight="1" spans="1:21">
      <c r="A456" s="100"/>
      <c r="Q456" s="26"/>
      <c r="S456" s="26"/>
      <c r="T456" s="26"/>
    </row>
    <row r="457" ht="33" customHeight="1" spans="1:21">
      <c r="A457" s="100"/>
      <c r="D457" s="44"/>
      <c r="E457" s="44"/>
      <c r="O457" s="44"/>
      <c r="Q457" s="26"/>
      <c r="S457" s="26"/>
      <c r="T457" s="26"/>
    </row>
    <row r="458" ht="32" customHeight="1" spans="1:21">
      <c r="A458" s="100"/>
      <c r="O458" s="44"/>
      <c r="Q458" s="26"/>
      <c r="S458" s="26"/>
      <c r="T458" s="26"/>
    </row>
    <row r="459" ht="37" customHeight="1" spans="1:21">
      <c r="A459" s="100"/>
      <c r="D459" s="44"/>
      <c r="Q459" s="26"/>
      <c r="S459" s="26"/>
      <c r="T459" s="26"/>
    </row>
    <row r="460" ht="30" customHeight="1" spans="1:21">
      <c r="A460" s="100"/>
      <c r="D460" s="44"/>
      <c r="O460" s="44"/>
      <c r="Q460" s="26"/>
      <c r="S460" s="26"/>
      <c r="T460" s="26"/>
    </row>
    <row r="461" ht="36" customHeight="1" spans="1:21">
      <c r="A461" s="100"/>
      <c r="D461" s="44"/>
      <c r="O461" s="44"/>
      <c r="Q461" s="26"/>
      <c r="S461" s="26"/>
      <c r="T461" s="26"/>
    </row>
    <row r="462" customHeight="1" spans="1:21">
      <c r="A462" s="100"/>
      <c r="O462" s="44"/>
      <c r="P462" s="28"/>
      <c r="Q462" s="26"/>
      <c r="S462" s="26"/>
      <c r="T462" s="26"/>
    </row>
    <row r="463" customHeight="1" spans="1:21">
      <c r="A463" s="100"/>
      <c r="O463" s="92"/>
      <c r="Q463" s="26"/>
      <c r="S463" s="26"/>
      <c r="T463" s="26"/>
    </row>
    <row r="464" ht="32" customHeight="1" spans="1:21">
      <c r="A464" s="100"/>
      <c r="O464" s="104"/>
      <c r="Q464" s="26"/>
      <c r="S464" s="26"/>
      <c r="T464" s="26"/>
    </row>
    <row r="465" ht="36" customHeight="1" spans="1:21">
      <c r="A465" s="100"/>
      <c r="D465" s="44"/>
      <c r="O465" s="44"/>
      <c r="Q465" s="26"/>
      <c r="S465" s="26"/>
      <c r="T465" s="26"/>
    </row>
    <row r="466" ht="32" customHeight="1" spans="1:21">
      <c r="A466" s="100"/>
      <c r="D466" s="44"/>
      <c r="O466" s="44"/>
      <c r="Q466" s="26"/>
      <c r="S466" s="26"/>
      <c r="T466" s="26"/>
    </row>
    <row r="467" customHeight="1" spans="1:21">
      <c r="A467" s="100"/>
      <c r="B467" s="26"/>
      <c r="D467" s="26"/>
      <c r="E467" s="26"/>
      <c r="F467" s="26"/>
      <c r="G467" s="26"/>
      <c r="J467" s="26"/>
      <c r="K467" s="26"/>
      <c r="L467" s="26"/>
      <c r="M467" s="26"/>
      <c r="N467" s="26"/>
      <c r="O467" s="26"/>
      <c r="P467" s="26"/>
      <c r="Q467" s="26"/>
      <c r="S467" s="26"/>
      <c r="T467" s="26"/>
      <c r="U467" s="26"/>
    </row>
    <row r="468" customHeight="1" spans="1:21">
      <c r="A468" s="100"/>
      <c r="B468" s="26"/>
      <c r="D468" s="26"/>
      <c r="E468" s="26"/>
      <c r="F468" s="26"/>
      <c r="G468" s="26"/>
      <c r="J468" s="26"/>
      <c r="K468" s="26"/>
      <c r="L468" s="26"/>
      <c r="M468" s="26"/>
      <c r="N468" s="26"/>
      <c r="O468" s="26"/>
      <c r="P468" s="26"/>
      <c r="Q468" s="26"/>
      <c r="S468" s="26"/>
      <c r="T468" s="26"/>
      <c r="U468" s="26"/>
    </row>
    <row r="469" customHeight="1" spans="1:21">
      <c r="A469" s="101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</row>
    <row r="470" customHeight="1" spans="1:21">
      <c r="A470" s="101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</row>
    <row r="471" ht="31" customHeight="1" spans="1:21">
      <c r="A471" s="101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</row>
    <row r="472" customHeight="1" spans="1:21">
      <c r="A472" s="101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</row>
    <row r="473" customHeight="1" spans="1:21">
      <c r="A473" s="101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</row>
    <row r="474" ht="28" customHeight="1" spans="1:21">
      <c r="B474" s="26"/>
      <c r="C474" s="26"/>
      <c r="D474" s="29"/>
      <c r="E474" s="26"/>
      <c r="F474" s="26"/>
      <c r="G474" s="26"/>
      <c r="J474" s="26"/>
      <c r="K474" s="26"/>
      <c r="L474" s="26"/>
      <c r="M474" s="26"/>
      <c r="N474" s="26"/>
      <c r="O474" s="29"/>
      <c r="P474" s="26"/>
      <c r="Q474" s="26"/>
      <c r="S474" s="26"/>
      <c r="T474" s="26"/>
      <c r="U474" s="26"/>
    </row>
    <row r="475" customHeight="1" spans="1:21">
      <c r="B475" s="26"/>
      <c r="C475" s="26"/>
      <c r="D475" s="26"/>
      <c r="E475" s="26"/>
      <c r="F475" s="26"/>
      <c r="G475" s="26"/>
      <c r="J475" s="26"/>
      <c r="K475" s="26"/>
      <c r="L475" s="26"/>
      <c r="M475" s="26"/>
      <c r="N475" s="26"/>
      <c r="O475" s="26"/>
      <c r="P475" s="26"/>
      <c r="Q475" s="26"/>
      <c r="S475" s="26"/>
      <c r="T475" s="26"/>
      <c r="U475" s="26"/>
    </row>
    <row r="476" customHeight="1" spans="1:21">
      <c r="B476" s="26"/>
      <c r="C476" s="26"/>
      <c r="D476" s="26"/>
      <c r="E476" s="26"/>
      <c r="F476" s="26"/>
      <c r="G476" s="26"/>
      <c r="J476" s="26"/>
      <c r="K476" s="26"/>
      <c r="L476" s="26"/>
      <c r="M476" s="26"/>
      <c r="N476" s="26"/>
      <c r="O476" s="99"/>
      <c r="P476" s="26"/>
      <c r="Q476" s="26"/>
      <c r="S476" s="26"/>
      <c r="T476" s="26"/>
    </row>
    <row r="477" ht="24" customHeight="1" spans="1:21">
      <c r="B477" s="26"/>
      <c r="C477" s="26"/>
      <c r="D477" s="26"/>
      <c r="E477" s="26"/>
      <c r="F477" s="26"/>
      <c r="G477" s="26"/>
      <c r="J477" s="26"/>
      <c r="K477" s="26"/>
      <c r="L477" s="26"/>
      <c r="M477" s="26"/>
      <c r="N477" s="26"/>
      <c r="O477" s="26"/>
      <c r="P477" s="26"/>
      <c r="Q477" s="26"/>
      <c r="S477" s="26"/>
      <c r="T477" s="26"/>
    </row>
    <row r="478" ht="24" customHeight="1" spans="1:21">
      <c r="B478" s="26"/>
      <c r="C478" s="26"/>
      <c r="D478" s="26"/>
      <c r="E478" s="26"/>
      <c r="F478" s="26"/>
      <c r="G478" s="26"/>
      <c r="J478" s="26"/>
      <c r="K478" s="26"/>
      <c r="L478" s="26"/>
      <c r="M478" s="26"/>
      <c r="N478" s="26"/>
      <c r="O478" s="26"/>
      <c r="P478" s="26"/>
      <c r="Q478" s="26"/>
      <c r="S478" s="26"/>
      <c r="T478" s="26"/>
    </row>
    <row r="479" ht="27" customHeight="1" spans="1:21">
      <c r="B479" s="26"/>
      <c r="C479" s="26"/>
      <c r="D479" s="29"/>
      <c r="E479" s="26"/>
      <c r="F479" s="26"/>
      <c r="G479" s="26"/>
      <c r="J479" s="26"/>
      <c r="K479" s="26"/>
      <c r="L479" s="26"/>
      <c r="M479" s="26"/>
      <c r="N479" s="26"/>
      <c r="O479" s="26"/>
      <c r="P479" s="26"/>
      <c r="Q479" s="26"/>
      <c r="S479" s="26"/>
      <c r="T479" s="26"/>
    </row>
    <row r="480" customHeight="1" spans="1:21">
      <c r="D480" s="44"/>
      <c r="E480" s="44"/>
      <c r="Q480" s="26"/>
      <c r="S480" s="26"/>
      <c r="T480" s="26"/>
    </row>
    <row r="481" customHeight="1" spans="2:21">
      <c r="D481" s="44"/>
      <c r="E481" s="44"/>
      <c r="Q481" s="26"/>
      <c r="S481" s="26"/>
      <c r="T481" s="26"/>
    </row>
    <row r="482" customHeight="1" spans="2:21">
      <c r="Q482" s="26"/>
      <c r="S482" s="26"/>
      <c r="T482" s="26"/>
    </row>
    <row r="483" customHeight="1" spans="2:21">
      <c r="D483" s="44"/>
      <c r="Q483" s="26"/>
      <c r="S483" s="26"/>
      <c r="T483" s="26"/>
    </row>
    <row r="484" ht="26" customHeight="1" spans="2:21">
      <c r="Q484" s="26"/>
      <c r="S484" s="26"/>
      <c r="T484" s="26"/>
    </row>
    <row r="485" ht="28" customHeight="1" spans="2:21">
      <c r="Q485" s="26"/>
      <c r="S485" s="26"/>
      <c r="T485" s="26"/>
    </row>
    <row r="486" ht="29" customHeight="1" spans="2:21">
      <c r="Q486" s="26"/>
      <c r="S486" s="26"/>
      <c r="T486" s="26"/>
    </row>
    <row r="487" ht="29" customHeight="1" spans="2:21">
      <c r="D487" s="44"/>
      <c r="E487" s="44"/>
      <c r="Q487" s="26"/>
      <c r="S487" s="26"/>
      <c r="T487" s="26"/>
    </row>
    <row r="488" ht="34" customHeight="1" spans="2:21">
      <c r="O488" s="44"/>
      <c r="Q488" s="26"/>
      <c r="S488" s="26"/>
      <c r="T488" s="26"/>
    </row>
    <row r="489" ht="30" customHeight="1" spans="2:21">
      <c r="D489" s="44"/>
      <c r="E489" s="44"/>
      <c r="Q489" s="26"/>
      <c r="S489" s="26"/>
      <c r="T489" s="26"/>
    </row>
    <row r="490" ht="30" customHeight="1" spans="2:21">
      <c r="B490" s="26"/>
      <c r="C490" s="26"/>
      <c r="D490" s="26"/>
      <c r="E490" s="26"/>
      <c r="F490" s="26"/>
      <c r="G490" s="26"/>
      <c r="J490" s="26"/>
      <c r="K490" s="26"/>
      <c r="L490" s="26"/>
      <c r="M490" s="26"/>
      <c r="N490" s="26"/>
      <c r="P490" s="26"/>
      <c r="Q490" s="26"/>
      <c r="S490" s="26"/>
      <c r="T490" s="26"/>
      <c r="U490" s="26"/>
    </row>
    <row r="491" customHeight="1" spans="2:21">
      <c r="B491" s="38"/>
      <c r="C491" s="26"/>
      <c r="D491" s="26"/>
      <c r="E491" s="26"/>
      <c r="F491" s="26"/>
      <c r="G491" s="26"/>
      <c r="J491" s="26"/>
      <c r="K491" s="26"/>
      <c r="L491" s="26"/>
      <c r="M491" s="26"/>
      <c r="N491" s="26"/>
      <c r="O491" s="91"/>
      <c r="P491" s="26"/>
      <c r="Q491" s="26"/>
      <c r="S491" s="26"/>
      <c r="T491" s="26"/>
      <c r="U491" s="26"/>
    </row>
    <row r="492" customHeight="1" spans="2:21">
      <c r="B492" s="26"/>
      <c r="C492" s="26"/>
      <c r="D492" s="26"/>
      <c r="E492" s="26"/>
      <c r="F492" s="26"/>
      <c r="G492" s="26"/>
      <c r="J492" s="26"/>
      <c r="K492" s="26"/>
      <c r="L492" s="26"/>
      <c r="M492" s="26"/>
      <c r="N492" s="26"/>
      <c r="P492" s="26"/>
      <c r="Q492" s="26"/>
      <c r="S492" s="26"/>
      <c r="T492" s="26"/>
      <c r="U492" s="26"/>
    </row>
    <row r="493" customHeight="1" spans="2:21">
      <c r="B493" s="26"/>
      <c r="C493" s="26"/>
      <c r="D493" s="26"/>
      <c r="E493" s="26"/>
      <c r="F493" s="26"/>
      <c r="G493" s="26"/>
      <c r="J493" s="26"/>
      <c r="K493" s="26"/>
      <c r="L493" s="26"/>
      <c r="M493" s="26"/>
      <c r="N493" s="26"/>
      <c r="P493" s="26"/>
      <c r="Q493" s="26"/>
      <c r="S493" s="26"/>
      <c r="T493" s="26"/>
      <c r="U493" s="26"/>
    </row>
    <row r="494" customHeight="1" spans="2:21">
      <c r="B494" s="26"/>
      <c r="C494" s="26"/>
      <c r="D494" s="26"/>
      <c r="E494" s="26"/>
      <c r="F494" s="26"/>
      <c r="G494" s="26"/>
      <c r="J494" s="26"/>
      <c r="K494" s="26"/>
      <c r="L494" s="26"/>
      <c r="M494" s="26"/>
      <c r="N494" s="26"/>
      <c r="P494" s="26"/>
      <c r="Q494" s="26"/>
      <c r="S494" s="26"/>
      <c r="T494" s="26"/>
      <c r="U494" s="26"/>
    </row>
    <row r="495" customHeight="1" spans="2:21">
      <c r="P495" s="26"/>
    </row>
    <row r="496" customHeight="1" spans="2:21">
      <c r="Q496" s="26"/>
      <c r="S496" s="26"/>
      <c r="T496" s="26"/>
    </row>
    <row r="497" ht="36" customHeight="1" spans="1:21">
      <c r="D497" s="44"/>
      <c r="E497" s="44"/>
      <c r="Q497" s="26"/>
      <c r="S497" s="26"/>
      <c r="T497" s="26"/>
    </row>
    <row r="498" ht="32" customHeight="1" spans="1:21">
      <c r="D498" s="44"/>
      <c r="Q498" s="26"/>
      <c r="S498" s="26"/>
      <c r="T498" s="26"/>
    </row>
    <row r="499" customHeight="1" spans="1:21">
      <c r="A499" s="101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</row>
    <row r="500" customHeight="1" spans="1:21">
      <c r="A500" s="101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</row>
    <row r="501" customHeight="1" spans="1:21">
      <c r="A501" s="101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</row>
    <row r="502" customHeight="1" spans="1:21">
      <c r="A502" s="101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</row>
    <row r="503" customHeight="1" spans="1:21">
      <c r="A503" s="101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</row>
    <row r="504" ht="31" customHeight="1" spans="1:21">
      <c r="B504" s="26"/>
      <c r="C504" s="26"/>
      <c r="D504" s="26"/>
      <c r="E504" s="26"/>
      <c r="F504" s="26"/>
      <c r="G504" s="26"/>
      <c r="K504" s="26"/>
      <c r="L504" s="26"/>
      <c r="M504" s="26"/>
      <c r="N504" s="26"/>
      <c r="O504" s="44"/>
      <c r="P504" s="26"/>
      <c r="Q504" s="26"/>
      <c r="S504" s="26"/>
      <c r="T504" s="26"/>
      <c r="U504" s="26"/>
    </row>
    <row r="505" customHeight="1" spans="1:21">
      <c r="B505" s="26"/>
      <c r="C505" s="26"/>
      <c r="D505" s="26"/>
      <c r="E505" s="26"/>
      <c r="F505" s="26"/>
      <c r="G505" s="26"/>
      <c r="K505" s="26"/>
      <c r="L505" s="26"/>
      <c r="M505" s="26"/>
      <c r="N505" s="26"/>
      <c r="P505" s="26"/>
      <c r="Q505" s="26"/>
      <c r="S505" s="26"/>
      <c r="T505" s="26"/>
      <c r="U505" s="26"/>
    </row>
    <row r="506" customHeight="1" spans="1:21">
      <c r="B506" s="26"/>
      <c r="C506" s="26"/>
      <c r="D506" s="26"/>
      <c r="E506" s="26"/>
      <c r="F506" s="26"/>
      <c r="G506" s="26"/>
      <c r="K506" s="26"/>
      <c r="L506" s="26"/>
      <c r="M506" s="26"/>
      <c r="N506" s="26"/>
      <c r="P506" s="26"/>
      <c r="Q506" s="26"/>
      <c r="S506" s="26"/>
      <c r="T506" s="26"/>
      <c r="U506" s="26"/>
    </row>
    <row r="507" customHeight="1" spans="1:21">
      <c r="B507" s="26"/>
      <c r="C507" s="26"/>
      <c r="D507" s="26"/>
      <c r="E507" s="26"/>
      <c r="F507" s="26"/>
      <c r="G507" s="26"/>
      <c r="K507" s="26"/>
      <c r="L507" s="26"/>
      <c r="M507" s="26"/>
      <c r="N507" s="26"/>
      <c r="P507" s="26"/>
      <c r="Q507" s="26"/>
      <c r="S507" s="26"/>
      <c r="T507" s="26"/>
      <c r="U507" s="26"/>
    </row>
    <row r="508" ht="29" customHeight="1" spans="1:21">
      <c r="C508" s="26"/>
      <c r="D508" s="44"/>
      <c r="E508" s="44"/>
      <c r="P508" s="26"/>
      <c r="Q508" s="26"/>
      <c r="S508" s="26"/>
      <c r="T508" s="26"/>
    </row>
    <row r="509" customHeight="1" spans="1:21">
      <c r="P509" s="26"/>
      <c r="Q509" s="26"/>
    </row>
    <row r="510" ht="27" customHeight="1" spans="1:21">
      <c r="D510" s="44"/>
      <c r="O510" s="44"/>
      <c r="P510" s="26"/>
      <c r="Q510" s="26"/>
      <c r="S510" s="26"/>
      <c r="T510" s="26"/>
    </row>
    <row r="512" customHeight="1" spans="1:21">
      <c r="Q512" s="26"/>
      <c r="S512" s="26"/>
      <c r="T512" s="26"/>
    </row>
    <row r="513" customHeight="1" spans="2:21">
      <c r="Q513" s="26"/>
      <c r="S513" s="26"/>
      <c r="T513" s="26"/>
    </row>
    <row r="514" customHeight="1" spans="2:21">
      <c r="B514" s="26"/>
      <c r="C514" s="26"/>
      <c r="D514" s="26"/>
      <c r="E514" s="26"/>
      <c r="F514" s="26"/>
      <c r="G514" s="26"/>
      <c r="K514" s="26"/>
      <c r="L514" s="26"/>
      <c r="M514" s="26"/>
      <c r="N514" s="26"/>
      <c r="P514" s="26"/>
      <c r="Q514" s="26"/>
      <c r="S514" s="26"/>
      <c r="T514" s="26"/>
      <c r="U514" s="26"/>
    </row>
    <row r="515" customHeight="1" spans="2:21">
      <c r="B515" s="26"/>
      <c r="C515" s="26"/>
      <c r="D515" s="26"/>
      <c r="E515" s="26"/>
      <c r="F515" s="26"/>
      <c r="G515" s="26"/>
      <c r="K515" s="26"/>
      <c r="L515" s="26"/>
      <c r="M515" s="26"/>
      <c r="N515" s="26"/>
      <c r="O515" s="29"/>
      <c r="P515" s="26"/>
      <c r="Q515" s="26"/>
      <c r="S515" s="26"/>
      <c r="T515" s="26"/>
      <c r="U515" s="26"/>
    </row>
    <row r="516" customHeight="1" spans="2:21">
      <c r="B516" s="26"/>
      <c r="C516" s="26"/>
      <c r="D516" s="26"/>
      <c r="E516" s="26"/>
      <c r="F516" s="26"/>
      <c r="G516" s="26"/>
      <c r="K516" s="26"/>
      <c r="L516" s="26"/>
      <c r="M516" s="26"/>
      <c r="N516" s="26"/>
      <c r="O516" s="26"/>
      <c r="P516" s="26"/>
      <c r="Q516" s="26"/>
      <c r="S516" s="26"/>
      <c r="T516" s="26"/>
      <c r="U516" s="26"/>
    </row>
    <row r="517" customHeight="1" spans="2:21">
      <c r="B517" s="26"/>
      <c r="C517" s="26"/>
      <c r="D517" s="26"/>
      <c r="E517" s="26"/>
      <c r="F517" s="26"/>
      <c r="G517" s="26"/>
      <c r="K517" s="26"/>
      <c r="L517" s="26"/>
      <c r="M517" s="26"/>
      <c r="N517" s="26"/>
      <c r="O517" s="26"/>
      <c r="P517" s="26"/>
      <c r="Q517" s="26"/>
      <c r="S517" s="26"/>
      <c r="T517" s="26"/>
      <c r="U517" s="26"/>
    </row>
    <row r="518" customHeight="1" spans="2:21">
      <c r="B518" s="26"/>
      <c r="D518" s="26"/>
      <c r="E518" s="26"/>
      <c r="F518" s="26"/>
      <c r="G518" s="26"/>
      <c r="K518" s="26"/>
      <c r="L518" s="26"/>
      <c r="M518" s="26"/>
      <c r="N518" s="26"/>
      <c r="O518" s="26"/>
      <c r="P518" s="26"/>
      <c r="Q518" s="26"/>
      <c r="R518" s="26"/>
      <c r="S518" s="26"/>
      <c r="U518" s="26"/>
    </row>
    <row r="520" customHeight="1" spans="2:21">
      <c r="S520" s="90"/>
    </row>
    <row r="521" ht="36" customHeight="1" spans="2:21">
      <c r="D521" s="44"/>
      <c r="E521" s="44"/>
      <c r="O521" s="44"/>
      <c r="Q521" s="26"/>
      <c r="S521" s="26"/>
      <c r="T521" s="26"/>
    </row>
    <row r="522" ht="27" customHeight="1" spans="2:21">
      <c r="D522" s="44"/>
      <c r="O522" s="44"/>
      <c r="S522" s="91"/>
    </row>
    <row r="523" ht="27" customHeight="1" spans="2:21">
      <c r="D523" s="44"/>
      <c r="O523" s="44"/>
      <c r="S523" s="91"/>
    </row>
    <row r="524" customHeight="1" spans="2:21">
      <c r="O524" s="44"/>
      <c r="S524" s="90"/>
    </row>
    <row r="525" ht="32" customHeight="1" spans="2:21">
      <c r="D525" s="44"/>
      <c r="Q525" s="26"/>
      <c r="S525" s="26"/>
      <c r="T525" s="26"/>
    </row>
    <row r="526" customHeight="1" spans="2:21">
      <c r="Q526" s="26"/>
      <c r="S526" s="26"/>
      <c r="T526" s="26"/>
    </row>
    <row r="527" customHeight="1" spans="2:21">
      <c r="O527" s="110"/>
      <c r="Q527" s="26"/>
      <c r="S527" s="26"/>
      <c r="T527" s="26"/>
    </row>
    <row r="528" customHeight="1" spans="2:21">
      <c r="O528" s="111"/>
      <c r="Q528" s="26"/>
      <c r="S528" s="26"/>
      <c r="T528" s="26"/>
    </row>
    <row r="529" customHeight="1" spans="2:20">
      <c r="Q529" s="26"/>
      <c r="S529" s="26"/>
      <c r="T529" s="26"/>
    </row>
    <row r="530" customHeight="1" spans="2:20">
      <c r="Q530" s="26"/>
      <c r="S530" s="26"/>
      <c r="T530" s="26"/>
    </row>
    <row r="531" customHeight="1" spans="2:20">
      <c r="D531" s="44"/>
      <c r="E531" s="44"/>
      <c r="Q531" s="26"/>
      <c r="S531" s="26"/>
      <c r="T531" s="26"/>
    </row>
    <row r="532" ht="58" customHeight="1" spans="2:20">
      <c r="B532" s="44"/>
      <c r="D532" s="44"/>
      <c r="E532" s="44"/>
      <c r="S532" s="92"/>
    </row>
    <row r="533" ht="32" customHeight="1" spans="2:20">
      <c r="D533" s="44"/>
      <c r="S533" s="92"/>
    </row>
    <row r="534" customHeight="1" spans="2:20">
      <c r="O534" s="50"/>
      <c r="S534" s="92"/>
    </row>
    <row r="535" customHeight="1" spans="2:20">
      <c r="O535" s="111"/>
      <c r="S535" s="92"/>
    </row>
    <row r="536" customHeight="1" spans="2:20">
      <c r="O536" s="91"/>
      <c r="S536" s="92"/>
    </row>
    <row r="537" customHeight="1" spans="2:20">
      <c r="S537" s="92"/>
    </row>
    <row r="538" customHeight="1" spans="2:20">
      <c r="O538" s="90"/>
      <c r="S538" s="92"/>
    </row>
    <row r="539" customHeight="1" spans="2:20">
      <c r="S539" s="92"/>
    </row>
    <row r="540" customHeight="1" spans="2:20">
      <c r="S540" s="92"/>
    </row>
    <row r="541" ht="29" customHeight="1" spans="2:20">
      <c r="D541" s="44"/>
      <c r="E541" s="44"/>
    </row>
    <row r="542" ht="33" customHeight="1" spans="2:20">
      <c r="D542" s="44"/>
      <c r="E542" s="44"/>
      <c r="S542" s="92"/>
    </row>
    <row r="543" ht="29" customHeight="1" spans="2:20">
      <c r="D543" s="44"/>
      <c r="E543" s="44"/>
      <c r="O543" s="104"/>
      <c r="S543" s="92"/>
    </row>
    <row r="544" customHeight="1" spans="2:20">
      <c r="S544" s="92"/>
    </row>
    <row r="545" ht="35" customHeight="1" spans="4:19">
      <c r="D545" s="44"/>
      <c r="E545" s="44"/>
      <c r="S545" s="92"/>
    </row>
    <row r="546" customHeight="1" spans="4:19">
      <c r="S546" s="92"/>
    </row>
    <row r="554" ht="36" customHeight="1" spans="4:19">
      <c r="D554" s="44"/>
      <c r="E554" s="44"/>
      <c r="O554" s="44"/>
    </row>
    <row r="555" ht="35" customHeight="1" spans="4:19">
      <c r="D555" s="44"/>
      <c r="E555" s="44"/>
    </row>
    <row r="558" ht="30" customHeight="1" spans="4:19">
      <c r="D558" s="44"/>
    </row>
    <row r="562" ht="35" customHeight="1" spans="1:20">
      <c r="D562" s="44"/>
    </row>
    <row r="563" customHeight="1" spans="1:20">
      <c r="O563" s="90"/>
    </row>
    <row r="565" customHeight="1" spans="1:20">
      <c r="A565" s="112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4"/>
      <c r="P565" s="113"/>
      <c r="Q565" s="113"/>
      <c r="R565" s="113"/>
      <c r="S565" s="113"/>
      <c r="T565" s="113"/>
    </row>
    <row r="566" customHeight="1" spans="1:20">
      <c r="A566" s="112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4"/>
      <c r="P566" s="113"/>
      <c r="Q566" s="113"/>
      <c r="R566" s="113"/>
      <c r="S566" s="113"/>
      <c r="T566" s="113"/>
    </row>
    <row r="567" customHeight="1" spans="1:20">
      <c r="A567" s="112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4"/>
      <c r="P567" s="113"/>
      <c r="Q567" s="113"/>
      <c r="R567" s="113"/>
      <c r="S567" s="113"/>
      <c r="T567" s="113"/>
    </row>
    <row r="568" customHeight="1" spans="1:20">
      <c r="A568" s="112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4"/>
      <c r="P568" s="113"/>
      <c r="Q568" s="113"/>
      <c r="R568" s="113"/>
      <c r="S568" s="113"/>
      <c r="T568" s="113"/>
    </row>
    <row r="569" customHeight="1" spans="1:20">
      <c r="A569" s="112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4"/>
      <c r="P569" s="113"/>
      <c r="Q569" s="113"/>
      <c r="R569" s="113"/>
      <c r="S569" s="113"/>
      <c r="T569" s="113"/>
    </row>
    <row r="574" ht="38" customHeight="1" spans="1:20">
      <c r="D574" s="44"/>
      <c r="E574" s="44"/>
    </row>
    <row r="581" customHeight="1" spans="1:15">
      <c r="A581" s="112"/>
      <c r="B581" s="113"/>
      <c r="O581" s="28"/>
    </row>
    <row r="582" customHeight="1" spans="1:15">
      <c r="A582" s="112"/>
      <c r="B582" s="113"/>
      <c r="O582" s="28"/>
    </row>
    <row r="583" customHeight="1" spans="1:15">
      <c r="A583" s="112"/>
      <c r="B583" s="113"/>
      <c r="O583" s="28"/>
    </row>
    <row r="584" customHeight="1" spans="1:15">
      <c r="A584" s="112"/>
      <c r="B584" s="113"/>
      <c r="O584" s="28"/>
    </row>
    <row r="585" customHeight="1" spans="1:15">
      <c r="A585" s="112"/>
      <c r="B585" s="113"/>
      <c r="O585" s="28"/>
    </row>
    <row r="587" ht="33" customHeight="1" spans="1:15">
      <c r="D587" s="44"/>
      <c r="E587" s="44"/>
    </row>
    <row r="592" customHeight="1" spans="1:15">
      <c r="O592" s="91"/>
    </row>
    <row r="594" ht="43" customHeight="1" spans="1:15">
      <c r="D594" s="44"/>
      <c r="E594" s="44"/>
    </row>
    <row r="595" customHeight="1" spans="1:15">
      <c r="A595" s="112"/>
      <c r="B595" s="113"/>
      <c r="O595" s="28"/>
    </row>
    <row r="596" customHeight="1" spans="1:15">
      <c r="A596" s="112"/>
      <c r="B596" s="113"/>
      <c r="O596" s="28"/>
    </row>
    <row r="597" customHeight="1" spans="1:15">
      <c r="A597" s="112"/>
      <c r="B597" s="113"/>
      <c r="O597" s="28"/>
    </row>
    <row r="598" customHeight="1" spans="1:15">
      <c r="A598" s="112"/>
      <c r="B598" s="113"/>
      <c r="O598" s="28"/>
    </row>
    <row r="599" customHeight="1" spans="1:15">
      <c r="A599" s="112"/>
      <c r="B599" s="113"/>
      <c r="O599" s="28"/>
    </row>
    <row r="600" customHeight="1" spans="1:15">
      <c r="D600" s="44"/>
      <c r="O600" s="115"/>
    </row>
    <row r="601" customHeight="1" spans="1:15">
      <c r="O601" s="111"/>
    </row>
    <row r="607" customHeight="1" spans="1:15">
      <c r="O607" s="50"/>
    </row>
    <row r="608" customHeight="1" spans="1:15">
      <c r="O608" s="116"/>
    </row>
    <row r="609" customHeight="1" spans="1:15">
      <c r="O609" s="111"/>
    </row>
    <row r="611" customHeight="1" spans="1:15">
      <c r="H611" s="90"/>
    </row>
    <row r="618" customHeight="1" spans="1:15">
      <c r="A618" s="112"/>
      <c r="B618" s="113"/>
      <c r="O618" s="28"/>
    </row>
    <row r="619" customHeight="1" spans="1:15">
      <c r="A619" s="112"/>
      <c r="B619" s="113"/>
      <c r="O619" s="28"/>
    </row>
    <row r="620" customHeight="1" spans="1:15">
      <c r="A620" s="112"/>
      <c r="B620" s="113"/>
      <c r="O620" s="28"/>
    </row>
    <row r="621" customHeight="1" spans="1:15">
      <c r="A621" s="112"/>
      <c r="B621" s="113"/>
      <c r="O621" s="28"/>
    </row>
    <row r="622" customHeight="1" spans="1:15">
      <c r="A622" s="112"/>
      <c r="B622" s="113"/>
      <c r="O622" s="28"/>
    </row>
    <row r="625" customHeight="1" spans="15:16">
      <c r="O625" s="91"/>
    </row>
    <row r="627" customHeight="1" spans="15:16">
      <c r="O627" s="115"/>
    </row>
    <row r="628" customHeight="1" spans="15:16">
      <c r="O628" s="116"/>
    </row>
    <row r="629" customHeight="1" spans="15:16">
      <c r="O629" s="111"/>
    </row>
    <row r="637" customHeight="1" spans="15:16">
      <c r="O637" s="90"/>
      <c r="P637" s="90"/>
    </row>
    <row r="638" customHeight="1" spans="15:16">
      <c r="O638" s="90"/>
      <c r="P638" s="90"/>
    </row>
    <row r="641" customHeight="1" spans="1:15">
      <c r="A641" s="112"/>
      <c r="B641" s="113"/>
      <c r="O641" s="28"/>
    </row>
    <row r="642" customHeight="1" spans="1:15">
      <c r="A642" s="112"/>
      <c r="B642" s="113"/>
      <c r="O642" s="28"/>
    </row>
    <row r="643" customHeight="1" spans="1:15">
      <c r="A643" s="112"/>
      <c r="B643" s="113"/>
      <c r="O643" s="28"/>
    </row>
    <row r="644" customHeight="1" spans="1:15">
      <c r="A644" s="112"/>
      <c r="B644" s="113"/>
      <c r="O644" s="28"/>
    </row>
    <row r="645" customHeight="1" spans="1:15">
      <c r="A645" s="112"/>
      <c r="B645" s="113"/>
      <c r="O645" s="28"/>
    </row>
    <row r="648" ht="35" customHeight="1" spans="1:15">
      <c r="D648" s="44"/>
      <c r="E648" s="44"/>
    </row>
    <row r="650" ht="33" customHeight="1" spans="1:15">
      <c r="D650" s="44"/>
    </row>
    <row r="653" ht="32" customHeight="1" spans="1:15">
      <c r="O653" s="44"/>
    </row>
    <row r="656" customHeight="1" spans="1:15">
      <c r="H656" s="90"/>
    </row>
    <row r="659" ht="43" customHeight="1" spans="1:15">
      <c r="D659" s="44"/>
      <c r="E659" s="44"/>
    </row>
    <row r="666" customHeight="1" spans="1:15">
      <c r="H666" s="90"/>
    </row>
    <row r="667" customHeight="1" spans="1:15">
      <c r="H667" s="90"/>
    </row>
    <row r="668" customHeight="1" spans="1:15">
      <c r="O668" s="90"/>
    </row>
    <row r="669" customHeight="1" spans="1:15">
      <c r="A669" s="112"/>
      <c r="B669" s="113"/>
      <c r="O669" s="28"/>
    </row>
    <row r="670" customHeight="1" spans="1:15">
      <c r="A670" s="112"/>
      <c r="B670" s="113"/>
      <c r="O670" s="28"/>
    </row>
    <row r="671" customHeight="1" spans="1:15">
      <c r="A671" s="112"/>
      <c r="B671" s="113"/>
      <c r="O671" s="28"/>
    </row>
    <row r="672" customHeight="1" spans="1:15">
      <c r="A672" s="112"/>
      <c r="B672" s="113"/>
      <c r="O672" s="28"/>
    </row>
    <row r="673" customHeight="1" spans="1:15">
      <c r="A673" s="112"/>
      <c r="B673" s="113"/>
      <c r="O673" s="28"/>
    </row>
    <row r="677" ht="28" customHeight="1" spans="1:15">
      <c r="D677" s="44"/>
      <c r="E677" s="44"/>
    </row>
    <row r="682" ht="29" customHeight="1" spans="1:15">
      <c r="O682" s="44"/>
    </row>
    <row r="684" ht="41" customHeight="1" spans="1:15">
      <c r="D684" s="44"/>
      <c r="E684" s="44"/>
    </row>
    <row r="685" ht="30" customHeight="1" spans="1:15">
      <c r="D685" s="44"/>
      <c r="E685" s="44"/>
    </row>
    <row r="687" customHeight="1" spans="1:15">
      <c r="A687" s="112"/>
      <c r="B687" s="113"/>
      <c r="O687" s="28"/>
    </row>
    <row r="688" customHeight="1" spans="1:15">
      <c r="A688" s="112"/>
      <c r="B688" s="113"/>
      <c r="O688" s="28"/>
    </row>
    <row r="689" customHeight="1" spans="1:15">
      <c r="A689" s="112"/>
      <c r="B689" s="113"/>
      <c r="O689" s="28"/>
    </row>
    <row r="690" customHeight="1" spans="1:15">
      <c r="A690" s="112"/>
      <c r="B690" s="113"/>
      <c r="O690" s="28"/>
    </row>
    <row r="691" customHeight="1" spans="1:15">
      <c r="A691" s="112"/>
      <c r="B691" s="113"/>
      <c r="O691" s="28"/>
    </row>
    <row r="692" ht="32" customHeight="1" spans="1:15">
      <c r="D692" s="44"/>
    </row>
    <row r="695" customHeight="1" spans="1:15">
      <c r="O695" s="91"/>
    </row>
    <row r="696" ht="30" customHeight="1" spans="1:15">
      <c r="D696" s="44"/>
      <c r="E696" s="44"/>
    </row>
    <row r="697" customHeight="1" spans="1:15">
      <c r="O697" s="91"/>
    </row>
    <row r="698" customHeight="1" spans="1:15">
      <c r="O698" s="91"/>
    </row>
    <row r="701" customHeight="1" spans="1:15">
      <c r="O701" s="91"/>
    </row>
    <row r="702" ht="27" customHeight="1" spans="1:15">
      <c r="O702" s="104"/>
    </row>
    <row r="703" ht="27" customHeight="1" spans="1:15">
      <c r="O703" s="44"/>
    </row>
    <row r="712" customHeight="1" spans="1:15">
      <c r="O712" s="117"/>
    </row>
    <row r="713" customHeight="1" spans="1:15">
      <c r="O713" s="111"/>
    </row>
    <row r="714" customHeight="1" spans="1:15">
      <c r="A714" s="112"/>
      <c r="B714" s="113"/>
      <c r="O714" s="28"/>
    </row>
    <row r="715" customHeight="1" spans="1:15">
      <c r="A715" s="112"/>
      <c r="B715" s="113"/>
      <c r="O715" s="28"/>
    </row>
    <row r="716" customHeight="1" spans="1:15">
      <c r="A716" s="112"/>
      <c r="B716" s="113"/>
      <c r="O716" s="28"/>
    </row>
    <row r="717" customHeight="1" spans="1:15">
      <c r="A717" s="112"/>
      <c r="B717" s="113"/>
      <c r="O717" s="28"/>
    </row>
    <row r="718" customHeight="1" spans="1:15">
      <c r="A718" s="112"/>
      <c r="B718" s="113"/>
      <c r="O718" s="28"/>
    </row>
    <row r="719" ht="32" customHeight="1" spans="1:15">
      <c r="D719" s="44"/>
      <c r="E719" s="44"/>
    </row>
    <row r="721" ht="33" customHeight="1" spans="4:15">
      <c r="D721" s="44"/>
      <c r="E721" s="44"/>
      <c r="O721" s="44"/>
    </row>
    <row r="722" ht="33" customHeight="1" spans="4:15">
      <c r="O722" s="44"/>
    </row>
    <row r="725" ht="29" customHeight="1" spans="4:15">
      <c r="D725" s="44"/>
      <c r="E725" s="44"/>
    </row>
    <row r="746" customHeight="1" spans="1:15">
      <c r="A746" s="112"/>
      <c r="B746" s="113"/>
      <c r="O746" s="28"/>
    </row>
    <row r="747" customHeight="1" spans="1:15">
      <c r="A747" s="112"/>
      <c r="B747" s="113"/>
      <c r="O747" s="28"/>
    </row>
    <row r="748" customHeight="1" spans="1:15">
      <c r="A748" s="112"/>
      <c r="B748" s="113"/>
      <c r="O748" s="28"/>
    </row>
    <row r="749" customHeight="1" spans="1:15">
      <c r="A749" s="112"/>
      <c r="B749" s="113"/>
      <c r="O749" s="28"/>
    </row>
    <row r="750" customHeight="1" spans="1:15">
      <c r="A750" s="112"/>
      <c r="B750" s="113"/>
      <c r="O750" s="28"/>
    </row>
    <row r="751" ht="30" customHeight="1" spans="1:15">
      <c r="O751" s="44"/>
    </row>
    <row r="762" ht="31" customHeight="1" spans="4:5">
      <c r="D762" s="44"/>
      <c r="E762" s="44"/>
    </row>
    <row r="764" ht="40" customHeight="1" spans="4:5">
      <c r="D764" s="44"/>
    </row>
    <row r="765" ht="34" customHeight="1" spans="4:5">
      <c r="D765" s="44"/>
      <c r="E765" s="44"/>
    </row>
    <row r="766" ht="28" customHeight="1" spans="4:5">
      <c r="D766" s="44"/>
      <c r="E766" s="44"/>
    </row>
    <row r="779" customHeight="1" spans="1:15">
      <c r="A779" s="112"/>
      <c r="B779" s="113"/>
      <c r="O779" s="91"/>
    </row>
    <row r="780" customHeight="1" spans="1:15">
      <c r="A780" s="112"/>
      <c r="B780" s="113"/>
      <c r="O780" s="91"/>
    </row>
    <row r="781" customHeight="1" spans="1:15">
      <c r="A781" s="112"/>
      <c r="B781" s="113"/>
      <c r="O781" s="91"/>
    </row>
    <row r="782" customHeight="1" spans="1:15">
      <c r="A782" s="112"/>
      <c r="B782" s="113"/>
      <c r="O782" s="91"/>
    </row>
    <row r="783" customHeight="1" spans="1:15">
      <c r="A783" s="112"/>
      <c r="B783" s="113"/>
      <c r="O783" s="91"/>
    </row>
    <row r="784" ht="37" customHeight="1" spans="1:15">
      <c r="O784" s="44"/>
    </row>
    <row r="789" ht="36" customHeight="1" spans="4:15">
      <c r="O789" s="44"/>
    </row>
    <row r="791" ht="39" customHeight="1" spans="4:15">
      <c r="D791" s="44"/>
      <c r="E791" s="44"/>
    </row>
    <row r="800" ht="31" customHeight="1" spans="4:15">
      <c r="D800" s="44"/>
      <c r="E800" s="44"/>
    </row>
    <row r="801" ht="29" customHeight="1" spans="1:15">
      <c r="D801" s="44"/>
      <c r="E801" s="44"/>
    </row>
    <row r="802" ht="29" customHeight="1" spans="1:15">
      <c r="D802" s="44"/>
      <c r="E802" s="44"/>
    </row>
    <row r="810" ht="39" customHeight="1" spans="1:15">
      <c r="D810" s="44"/>
    </row>
    <row r="811" customHeight="1" spans="1:15">
      <c r="O811" s="90"/>
    </row>
    <row r="812" customHeight="1" spans="1:15">
      <c r="A812" s="112"/>
      <c r="B812" s="113"/>
      <c r="O812" s="91"/>
    </row>
    <row r="813" customHeight="1" spans="1:15">
      <c r="A813" s="112"/>
      <c r="B813" s="113"/>
      <c r="O813" s="91"/>
    </row>
    <row r="814" customHeight="1" spans="1:15">
      <c r="A814" s="112"/>
      <c r="B814" s="113"/>
      <c r="O814" s="91"/>
    </row>
    <row r="815" customHeight="1" spans="1:15">
      <c r="A815" s="112"/>
      <c r="B815" s="113"/>
      <c r="O815" s="91"/>
    </row>
    <row r="816" customHeight="1" spans="1:15">
      <c r="A816" s="112"/>
      <c r="B816" s="113"/>
      <c r="O816" s="91"/>
    </row>
    <row r="817" customHeight="1" spans="4:15">
      <c r="J817" s="91"/>
    </row>
    <row r="818" customHeight="1" spans="4:15">
      <c r="J818" s="91"/>
    </row>
    <row r="819" customHeight="1" spans="4:15">
      <c r="J819" s="91"/>
    </row>
    <row r="820" customHeight="1" spans="4:15">
      <c r="J820" s="91"/>
    </row>
    <row r="821" customHeight="1" spans="4:15">
      <c r="D821" s="44"/>
      <c r="J821" s="91"/>
    </row>
    <row r="822" customHeight="1" spans="4:15">
      <c r="J822" s="91"/>
    </row>
    <row r="823" customHeight="1" spans="4:15">
      <c r="J823" s="91"/>
    </row>
    <row r="824" customHeight="1" spans="4:15">
      <c r="J824" s="91"/>
    </row>
    <row r="825" ht="62" customHeight="1" spans="4:15">
      <c r="J825" s="91"/>
      <c r="O825" s="44"/>
    </row>
    <row r="826" ht="32" customHeight="1" spans="4:15">
      <c r="D826" s="44"/>
      <c r="J826" s="91"/>
      <c r="O826" s="44"/>
    </row>
    <row r="827" customHeight="1" spans="4:15">
      <c r="J827" s="91"/>
    </row>
    <row r="828" customHeight="1" spans="4:15">
      <c r="J828" s="91"/>
      <c r="O828" s="50"/>
    </row>
    <row r="829" ht="40" customHeight="1" spans="4:15">
      <c r="J829" s="91"/>
      <c r="O829" s="111"/>
    </row>
    <row r="830" ht="40" customHeight="1" spans="4:15">
      <c r="J830" s="91"/>
      <c r="O830" s="44"/>
    </row>
    <row r="831" customHeight="1" spans="4:15">
      <c r="J831" s="91"/>
      <c r="O831" s="115"/>
    </row>
    <row r="832" customHeight="1" spans="4:15">
      <c r="O832" s="111"/>
    </row>
    <row r="835" customHeight="1" spans="1:15">
      <c r="A835" s="112"/>
      <c r="B835" s="113"/>
      <c r="O835" s="91"/>
    </row>
    <row r="836" customHeight="1" spans="1:15">
      <c r="A836" s="112"/>
      <c r="B836" s="113"/>
      <c r="O836" s="91"/>
    </row>
    <row r="837" customHeight="1" spans="1:15">
      <c r="A837" s="112"/>
      <c r="B837" s="113"/>
      <c r="O837" s="91"/>
    </row>
    <row r="838" customHeight="1" spans="1:15">
      <c r="A838" s="112"/>
      <c r="B838" s="113"/>
      <c r="O838" s="91"/>
    </row>
    <row r="839" customHeight="1" spans="1:15">
      <c r="A839" s="112"/>
      <c r="B839" s="113"/>
      <c r="O839" s="91"/>
    </row>
    <row r="840" ht="36" customHeight="1" spans="1:15">
      <c r="D840" s="44"/>
      <c r="E840" s="44"/>
      <c r="O840" s="44"/>
    </row>
    <row r="848" ht="36" customHeight="1" spans="1:15">
      <c r="D848" s="44"/>
      <c r="E848" s="44"/>
      <c r="O848" s="117"/>
    </row>
    <row r="849" ht="37" customHeight="1" spans="4:15">
      <c r="D849" s="44"/>
      <c r="E849" s="44"/>
      <c r="O849" s="118"/>
    </row>
    <row r="855" ht="44" customHeight="1" spans="4:15">
      <c r="D855" s="44"/>
      <c r="E855" s="44"/>
    </row>
    <row r="859" ht="28" customHeight="1" spans="4:15">
      <c r="O859" s="44"/>
    </row>
  </sheetData>
  <autoFilter xmlns:etc="http://www.wps.cn/officeDocument/2017/etCustomData" ref="A1:U221" etc:filterBottomFollowUsedRange="0">
    <filterColumn colId="0">
      <filters>
        <dateGroupItem year="2026" month="7" day="12" dateTimeGrouping="day"/>
      </filters>
    </filterColumn>
    <extLst/>
  </autoFilter>
  <mergeCells count="9">
    <mergeCell ref="O527:O528"/>
    <mergeCell ref="O534:O535"/>
    <mergeCell ref="O600:O601"/>
    <mergeCell ref="O607:O609"/>
    <mergeCell ref="O627:O629"/>
    <mergeCell ref="O712:O713"/>
    <mergeCell ref="O828:O829"/>
    <mergeCell ref="O831:O832"/>
    <mergeCell ref="O848:O849"/>
  </mergeCells>
  <conditionalFormatting sqref="B1">
    <cfRule type="duplicateValues" dxfId="0" priority="1"/>
  </conditionalFormatting>
  <dataValidations count="4">
    <dataValidation type="list" allowBlank="1" showInputMessage="1" showErrorMessage="1" sqref="B184 C2:C183 C185:C65553">
      <formula1>"会籍收入,私教收入,教练班收入,水吧收入,美团收入,抖音收入,游泳装备,其他收入,刷单,餐吧收入"</formula1>
    </dataValidation>
    <dataValidation type="list" allowBlank="1" showInputMessage="1" showErrorMessage="1" sqref="E184 F2:F183 F185:F339 F341:F65553">
      <formula1>"月卡,季卡,半年卡,年卡,双年卡,三年卡,亲子卡,家庭卡,学期卡,学年卡,双学年卡,三学年卡,游泳培训1V1,游泳培训1V2,游泳培训1V3,游泳培训班,次卡,常规课,特色课,长训班,包月课,定金,周卡,体验课,转卡费"</formula1>
    </dataValidation>
    <dataValidation type="list" allowBlank="1" showInputMessage="1" showErrorMessage="1" sqref="H184 I300 I326 I341 I2:I183 I185:I282 I290:I294 I302:I303 I307:I311 I320:I324 I331:I332 I334:I338 I344:I345 I348:I352 I358:I359 I361:I367 I373:I377 I379:I725 I727:I65553">
      <formula1>"微信,支付宝,POS,现金"</formula1>
    </dataValidation>
    <dataValidation type="list" allowBlank="1" showInputMessage="1" showErrorMessage="1" sqref="U220 N495 R509:S509 N508:N510 N545:N549 N779:N783 N812:N816 N835:N839 P779:P783 P812:P816 P835:P839 S547:S549 S565:S569 S581:S585 S595:S599 S618:S622 S641:S645 S669:S673 S687:S691 S714:S718 S746:S750 S779:S783 S812:S816 S835:S839 N565:P569 N595:P599 N581:P585 N641:P645 N746:P750 N618:P622 N669:P673 N714:P718 N687:P691 Q2:S508 Q510:S546 Q550:S564 Q570:S580 Q586:S594 Q600:S617 Q623:S640 Q646:S668 Q674:S686 Q692:S713 Q719:S745 Q751:S778 Q784:S811 Q817:S834 Q840:S65553">
      <formula1>"是,否"</formula1>
    </dataValidation>
  </dataValidations>
  <pageMargins left="0.75" right="0.75" top="1" bottom="1" header="0.5" footer="0.5"/>
  <pageSetup paperSize="9" orientation="portrait"/>
  <headerFooter/>
  <ignoredErrors>
    <ignoredError sqref="V209:V210 V156:V159 V141:V143 V92:V98 V475:V480 V412 V187:V207 V145:V154 V163:V171 V173:V178 V181:V185 V53:V76 V482:V521 V397:V410 V395 V311:V387 V236:V240 V250:V305 V222:V234 V137:V139 V135 V88:V90 V2:V34 V100:V111 V118:V129 V242:V246 V414:V430 V432:V470 V535:V859 V36:V51 V212:V218 V529:V533 V523:V527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39"/>
  <sheetViews>
    <sheetView workbookViewId="0">
      <pane ySplit="4" topLeftCell="A5" activePane="bottomLeft" state="frozen"/>
      <selection/>
      <selection pane="bottomLeft" activeCell="N19" sqref="N19:O19"/>
    </sheetView>
  </sheetViews>
  <sheetFormatPr defaultColWidth="9" defaultRowHeight="15" customHeight="1"/>
  <cols>
    <col min="1" max="1" width="12.875" style="20" customWidth="1"/>
    <col min="2" max="17" width="9" style="20"/>
    <col min="18" max="20" width="12.625" style="20" customWidth="1"/>
    <col min="21" max="21" width="18.625" style="20" customWidth="1"/>
  </cols>
  <sheetData>
    <row r="1" ht="25" customHeight="1" spans="1:21">
      <c r="A1" s="71" t="s">
        <v>18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53"/>
      <c r="T1" s="53"/>
      <c r="U1" s="73"/>
    </row>
    <row r="2" ht="20" customHeight="1" spans="1:21">
      <c r="A2" s="16" t="s">
        <v>42</v>
      </c>
      <c r="B2" s="74" t="s">
        <v>389</v>
      </c>
      <c r="C2" s="74"/>
      <c r="D2" s="74" t="s">
        <v>390</v>
      </c>
      <c r="E2" s="74"/>
      <c r="F2" s="74" t="s">
        <v>391</v>
      </c>
      <c r="G2" s="74"/>
      <c r="H2" s="74" t="s">
        <v>392</v>
      </c>
      <c r="I2" s="74"/>
      <c r="J2" s="74" t="s">
        <v>393</v>
      </c>
      <c r="K2" s="74"/>
      <c r="L2" s="74" t="s">
        <v>394</v>
      </c>
      <c r="M2" s="74"/>
      <c r="N2" s="75"/>
      <c r="O2" s="75"/>
      <c r="P2" s="75" t="s">
        <v>395</v>
      </c>
      <c r="Q2" s="75"/>
      <c r="R2" s="16" t="s">
        <v>396</v>
      </c>
      <c r="S2" s="58" t="s">
        <v>397</v>
      </c>
      <c r="T2" s="58" t="s">
        <v>398</v>
      </c>
      <c r="U2" s="16" t="s">
        <v>41</v>
      </c>
    </row>
    <row r="3" ht="20" customHeight="1" spans="1:21">
      <c r="A3" s="16"/>
      <c r="B3" s="16" t="s">
        <v>399</v>
      </c>
      <c r="C3" s="16" t="s">
        <v>400</v>
      </c>
      <c r="D3" s="16" t="s">
        <v>399</v>
      </c>
      <c r="E3" s="16" t="s">
        <v>400</v>
      </c>
      <c r="F3" s="16" t="s">
        <v>399</v>
      </c>
      <c r="G3" s="16" t="s">
        <v>400</v>
      </c>
      <c r="H3" s="16" t="s">
        <v>399</v>
      </c>
      <c r="I3" s="16" t="s">
        <v>400</v>
      </c>
      <c r="J3" s="16" t="s">
        <v>399</v>
      </c>
      <c r="K3" s="16" t="s">
        <v>400</v>
      </c>
      <c r="L3" s="16" t="s">
        <v>399</v>
      </c>
      <c r="M3" s="16" t="s">
        <v>400</v>
      </c>
      <c r="N3" s="16" t="s">
        <v>399</v>
      </c>
      <c r="O3" s="16" t="s">
        <v>400</v>
      </c>
      <c r="P3" s="16" t="s">
        <v>399</v>
      </c>
      <c r="Q3" s="16" t="s">
        <v>400</v>
      </c>
      <c r="R3" s="16"/>
      <c r="S3" s="58"/>
      <c r="T3" s="58"/>
      <c r="U3" s="16"/>
    </row>
    <row r="4" ht="20" customHeight="1" spans="1:21">
      <c r="A4" s="16"/>
      <c r="B4" s="76">
        <v>5</v>
      </c>
      <c r="C4" s="76">
        <v>20</v>
      </c>
      <c r="D4" s="76"/>
      <c r="E4" s="76">
        <v>10</v>
      </c>
      <c r="F4" s="76"/>
      <c r="G4" s="76">
        <v>138</v>
      </c>
      <c r="H4" s="76"/>
      <c r="I4" s="76">
        <v>25</v>
      </c>
      <c r="J4" s="76"/>
      <c r="K4" s="76">
        <v>168</v>
      </c>
      <c r="L4" s="76"/>
      <c r="M4" s="76">
        <v>70</v>
      </c>
      <c r="N4" s="16"/>
      <c r="O4" s="16"/>
      <c r="P4" s="16"/>
      <c r="Q4" s="16">
        <v>1</v>
      </c>
      <c r="R4" s="16"/>
      <c r="S4" s="58"/>
      <c r="T4" s="58"/>
      <c r="U4" s="16"/>
    </row>
    <row r="5" ht="18" customHeight="1" spans="1:21">
      <c r="A5" s="4" t="s">
        <v>401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>
        <f t="shared" ref="R5:R38" si="0">$C$4*B5+$E$4*D5+$G$4*F5+$I$4*H5+$K$4*J5+$M$4*L5+$O$4*N5+$Q$4*P5</f>
        <v>0</v>
      </c>
      <c r="S5" s="61">
        <f t="shared" ref="S5:S38" si="1">$B$4*B5+$D$4*D5+$F$4*F5+$H$4*H5+$J$4*J5+$L$4*L5+$N$4*N5+$P$4*P5</f>
        <v>0</v>
      </c>
      <c r="T5" s="61">
        <f t="shared" ref="T5:T38" si="2">R5-S5</f>
        <v>0</v>
      </c>
      <c r="U5" s="77"/>
    </row>
    <row r="6" ht="18" customHeight="1" spans="1:21">
      <c r="A6" s="4" t="s">
        <v>402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>
        <f t="shared" si="0"/>
        <v>0</v>
      </c>
      <c r="S6" s="61">
        <f t="shared" si="1"/>
        <v>0</v>
      </c>
      <c r="T6" s="61">
        <f t="shared" si="2"/>
        <v>0</v>
      </c>
      <c r="U6" s="78"/>
    </row>
    <row r="7" ht="18" customHeight="1" spans="1:21">
      <c r="A7" s="79" t="s">
        <v>403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>
        <f t="shared" si="0"/>
        <v>0</v>
      </c>
      <c r="S7" s="80">
        <f t="shared" si="1"/>
        <v>0</v>
      </c>
      <c r="T7" s="80">
        <f t="shared" si="2"/>
        <v>0</v>
      </c>
      <c r="U7" s="78"/>
    </row>
    <row r="8" customHeight="1" spans="1:21">
      <c r="A8" s="60">
        <v>46204</v>
      </c>
      <c r="B8" s="61">
        <v>2</v>
      </c>
      <c r="C8" s="61"/>
      <c r="D8" s="61">
        <v>10</v>
      </c>
      <c r="E8" s="61"/>
      <c r="F8" s="61">
        <v>0</v>
      </c>
      <c r="G8" s="61"/>
      <c r="H8" s="61">
        <v>0</v>
      </c>
      <c r="I8" s="61"/>
      <c r="J8" s="61">
        <v>0</v>
      </c>
      <c r="K8" s="61"/>
      <c r="L8" s="61">
        <v>0</v>
      </c>
      <c r="M8" s="61"/>
      <c r="N8" s="61">
        <v>0</v>
      </c>
      <c r="O8" s="61"/>
      <c r="P8" s="61">
        <v>0</v>
      </c>
      <c r="Q8" s="61"/>
      <c r="R8" s="61">
        <f t="shared" si="0"/>
        <v>140</v>
      </c>
      <c r="S8" s="61">
        <f t="shared" si="1"/>
        <v>10</v>
      </c>
      <c r="T8" s="61">
        <f t="shared" si="2"/>
        <v>130</v>
      </c>
    </row>
    <row r="9" customHeight="1" spans="1:21">
      <c r="A9" s="60">
        <v>46205</v>
      </c>
      <c r="B9" s="61">
        <v>2</v>
      </c>
      <c r="C9" s="61"/>
      <c r="D9" s="61">
        <v>3</v>
      </c>
      <c r="E9" s="61"/>
      <c r="F9" s="61">
        <v>0</v>
      </c>
      <c r="G9" s="61"/>
      <c r="H9" s="61">
        <v>1</v>
      </c>
      <c r="I9" s="61"/>
      <c r="J9" s="61">
        <v>0</v>
      </c>
      <c r="K9" s="61"/>
      <c r="L9" s="61">
        <v>0</v>
      </c>
      <c r="M9" s="61"/>
      <c r="N9" s="61">
        <v>0</v>
      </c>
      <c r="O9" s="61"/>
      <c r="P9" s="61">
        <v>0</v>
      </c>
      <c r="Q9" s="61"/>
      <c r="R9" s="61">
        <f t="shared" si="0"/>
        <v>95</v>
      </c>
      <c r="S9" s="61">
        <f t="shared" si="1"/>
        <v>10</v>
      </c>
      <c r="T9" s="61">
        <f t="shared" si="2"/>
        <v>85</v>
      </c>
    </row>
    <row r="10" customHeight="1" spans="1:21">
      <c r="A10" s="60">
        <v>46206</v>
      </c>
      <c r="B10" s="61">
        <v>3</v>
      </c>
      <c r="C10" s="61"/>
      <c r="D10" s="61">
        <v>2</v>
      </c>
      <c r="E10" s="61"/>
      <c r="F10" s="61">
        <v>0</v>
      </c>
      <c r="G10" s="61"/>
      <c r="H10" s="61">
        <v>0</v>
      </c>
      <c r="I10" s="61"/>
      <c r="J10" s="61">
        <v>0</v>
      </c>
      <c r="K10" s="61"/>
      <c r="L10" s="61">
        <v>0</v>
      </c>
      <c r="M10" s="61"/>
      <c r="N10" s="61">
        <v>0</v>
      </c>
      <c r="O10" s="61"/>
      <c r="P10" s="61">
        <v>0</v>
      </c>
      <c r="Q10" s="61"/>
      <c r="R10" s="61">
        <f t="shared" si="0"/>
        <v>80</v>
      </c>
      <c r="S10" s="61">
        <f t="shared" si="1"/>
        <v>15</v>
      </c>
      <c r="T10" s="61">
        <f t="shared" si="2"/>
        <v>65</v>
      </c>
    </row>
    <row r="11" customHeight="1" spans="1:21">
      <c r="A11" s="60">
        <v>46207</v>
      </c>
      <c r="B11" s="61">
        <v>1</v>
      </c>
      <c r="C11" s="61"/>
      <c r="D11" s="61">
        <v>0</v>
      </c>
      <c r="E11" s="61"/>
      <c r="F11" s="61">
        <v>0</v>
      </c>
      <c r="G11" s="61"/>
      <c r="H11" s="61">
        <v>0</v>
      </c>
      <c r="I11" s="61"/>
      <c r="J11" s="61">
        <v>0</v>
      </c>
      <c r="K11" s="61"/>
      <c r="L11" s="61">
        <v>0</v>
      </c>
      <c r="M11" s="61"/>
      <c r="N11" s="61">
        <v>0</v>
      </c>
      <c r="O11" s="61"/>
      <c r="P11" s="61">
        <v>0</v>
      </c>
      <c r="Q11" s="61"/>
      <c r="R11" s="61">
        <f t="shared" si="0"/>
        <v>20</v>
      </c>
      <c r="S11" s="61">
        <f t="shared" si="1"/>
        <v>5</v>
      </c>
      <c r="T11" s="61">
        <f t="shared" si="2"/>
        <v>15</v>
      </c>
    </row>
    <row r="12" customHeight="1" spans="1:21">
      <c r="A12" s="60">
        <v>46208</v>
      </c>
      <c r="B12" s="61">
        <v>0</v>
      </c>
      <c r="C12" s="61"/>
      <c r="D12" s="61">
        <v>6</v>
      </c>
      <c r="E12" s="61"/>
      <c r="F12" s="61">
        <v>0</v>
      </c>
      <c r="G12" s="61"/>
      <c r="H12" s="61">
        <v>2</v>
      </c>
      <c r="I12" s="61"/>
      <c r="J12" s="61">
        <v>0</v>
      </c>
      <c r="K12" s="61"/>
      <c r="L12" s="61">
        <v>0</v>
      </c>
      <c r="M12" s="61"/>
      <c r="N12" s="61">
        <v>0</v>
      </c>
      <c r="O12" s="61"/>
      <c r="P12" s="61">
        <v>0</v>
      </c>
      <c r="Q12" s="61"/>
      <c r="R12" s="61">
        <f t="shared" si="0"/>
        <v>110</v>
      </c>
      <c r="S12" s="61">
        <f t="shared" si="1"/>
        <v>0</v>
      </c>
      <c r="T12" s="61">
        <f t="shared" si="2"/>
        <v>110</v>
      </c>
    </row>
    <row r="13" customHeight="1" spans="1:21">
      <c r="A13" s="60">
        <v>46209</v>
      </c>
      <c r="B13" s="61">
        <v>2</v>
      </c>
      <c r="C13" s="61"/>
      <c r="D13" s="61">
        <v>2</v>
      </c>
      <c r="E13" s="61"/>
      <c r="F13" s="61">
        <v>0</v>
      </c>
      <c r="G13" s="61"/>
      <c r="H13" s="61">
        <v>1</v>
      </c>
      <c r="I13" s="61"/>
      <c r="J13" s="61">
        <v>0</v>
      </c>
      <c r="K13" s="61"/>
      <c r="L13" s="61">
        <v>0</v>
      </c>
      <c r="M13" s="61"/>
      <c r="N13" s="61">
        <v>0</v>
      </c>
      <c r="O13" s="61"/>
      <c r="P13" s="61">
        <v>0</v>
      </c>
      <c r="Q13" s="61"/>
      <c r="R13" s="61">
        <f t="shared" si="0"/>
        <v>85</v>
      </c>
      <c r="S13" s="61">
        <f t="shared" si="1"/>
        <v>10</v>
      </c>
      <c r="T13" s="61">
        <f t="shared" si="2"/>
        <v>75</v>
      </c>
    </row>
    <row r="14" customHeight="1" spans="1:21">
      <c r="A14" s="60">
        <v>46210</v>
      </c>
      <c r="B14" s="61">
        <v>0</v>
      </c>
      <c r="C14" s="61"/>
      <c r="D14" s="61">
        <v>5</v>
      </c>
      <c r="E14" s="61"/>
      <c r="F14" s="61">
        <v>0</v>
      </c>
      <c r="G14" s="61"/>
      <c r="H14" s="61">
        <v>1</v>
      </c>
      <c r="I14" s="61"/>
      <c r="J14" s="61">
        <v>0</v>
      </c>
      <c r="K14" s="61"/>
      <c r="L14" s="61">
        <v>0</v>
      </c>
      <c r="M14" s="61"/>
      <c r="N14" s="61">
        <v>0</v>
      </c>
      <c r="O14" s="61"/>
      <c r="P14" s="61">
        <v>0</v>
      </c>
      <c r="Q14" s="61"/>
      <c r="R14" s="61">
        <f t="shared" si="0"/>
        <v>75</v>
      </c>
      <c r="S14" s="61">
        <f t="shared" si="1"/>
        <v>0</v>
      </c>
      <c r="T14" s="61">
        <f t="shared" si="2"/>
        <v>75</v>
      </c>
    </row>
    <row r="15" customHeight="1" spans="1:21">
      <c r="A15" s="60">
        <v>46211</v>
      </c>
      <c r="B15" s="61">
        <v>0</v>
      </c>
      <c r="C15" s="61"/>
      <c r="D15" s="61">
        <v>0</v>
      </c>
      <c r="E15" s="61"/>
      <c r="F15" s="61">
        <v>0</v>
      </c>
      <c r="G15" s="61"/>
      <c r="H15" s="61">
        <v>0</v>
      </c>
      <c r="I15" s="61"/>
      <c r="J15" s="61">
        <v>0</v>
      </c>
      <c r="K15" s="61"/>
      <c r="L15" s="61">
        <v>0</v>
      </c>
      <c r="M15" s="61"/>
      <c r="N15" s="61">
        <v>0</v>
      </c>
      <c r="O15" s="61"/>
      <c r="P15" s="61">
        <v>0</v>
      </c>
      <c r="Q15" s="61"/>
      <c r="R15" s="61">
        <f t="shared" si="0"/>
        <v>0</v>
      </c>
      <c r="S15" s="61">
        <f t="shared" si="1"/>
        <v>0</v>
      </c>
      <c r="T15" s="61">
        <f t="shared" si="2"/>
        <v>0</v>
      </c>
    </row>
    <row r="16" customHeight="1" spans="1:21">
      <c r="A16" s="60">
        <v>46212</v>
      </c>
      <c r="B16" s="61">
        <v>1</v>
      </c>
      <c r="C16" s="61"/>
      <c r="D16" s="61">
        <v>2</v>
      </c>
      <c r="E16" s="61"/>
      <c r="F16" s="61">
        <v>0</v>
      </c>
      <c r="G16" s="61"/>
      <c r="H16" s="61">
        <v>0</v>
      </c>
      <c r="I16" s="61"/>
      <c r="J16" s="61">
        <v>0</v>
      </c>
      <c r="K16" s="61"/>
      <c r="L16" s="61">
        <v>0</v>
      </c>
      <c r="M16" s="61"/>
      <c r="N16" s="61">
        <v>0</v>
      </c>
      <c r="O16" s="61"/>
      <c r="P16" s="61">
        <v>0</v>
      </c>
      <c r="Q16" s="61"/>
      <c r="R16" s="61">
        <f t="shared" si="0"/>
        <v>40</v>
      </c>
      <c r="S16" s="61">
        <f t="shared" si="1"/>
        <v>5</v>
      </c>
      <c r="T16" s="61">
        <f t="shared" si="2"/>
        <v>35</v>
      </c>
    </row>
    <row r="17" customHeight="1" spans="1:20">
      <c r="A17" s="60">
        <v>46213</v>
      </c>
      <c r="B17" s="61">
        <v>2</v>
      </c>
      <c r="C17" s="61"/>
      <c r="D17" s="61">
        <v>4</v>
      </c>
      <c r="E17" s="61"/>
      <c r="F17" s="61">
        <v>0</v>
      </c>
      <c r="G17" s="61"/>
      <c r="H17" s="61">
        <v>0</v>
      </c>
      <c r="I17" s="61"/>
      <c r="J17" s="61">
        <v>0</v>
      </c>
      <c r="K17" s="61"/>
      <c r="L17" s="61">
        <v>0</v>
      </c>
      <c r="M17" s="61"/>
      <c r="N17" s="61">
        <v>0</v>
      </c>
      <c r="O17" s="61"/>
      <c r="P17" s="61">
        <v>0</v>
      </c>
      <c r="Q17" s="61"/>
      <c r="R17" s="61">
        <f t="shared" si="0"/>
        <v>80</v>
      </c>
      <c r="S17" s="61">
        <f t="shared" si="1"/>
        <v>10</v>
      </c>
      <c r="T17" s="61">
        <f t="shared" si="2"/>
        <v>70</v>
      </c>
    </row>
    <row r="18" customHeight="1" spans="1:20">
      <c r="A18" s="60">
        <v>46214</v>
      </c>
      <c r="B18" s="61">
        <v>3</v>
      </c>
      <c r="C18" s="61"/>
      <c r="D18" s="61">
        <v>3</v>
      </c>
      <c r="E18" s="61"/>
      <c r="F18" s="61">
        <v>0</v>
      </c>
      <c r="G18" s="61"/>
      <c r="H18" s="61">
        <v>2</v>
      </c>
      <c r="I18" s="61"/>
      <c r="J18" s="61">
        <v>0</v>
      </c>
      <c r="K18" s="61"/>
      <c r="L18" s="61">
        <v>0</v>
      </c>
      <c r="M18" s="61"/>
      <c r="N18" s="61">
        <v>0</v>
      </c>
      <c r="O18" s="61"/>
      <c r="P18" s="61">
        <v>1</v>
      </c>
      <c r="Q18" s="61"/>
      <c r="R18" s="61">
        <f t="shared" si="0"/>
        <v>141</v>
      </c>
      <c r="S18" s="61">
        <f t="shared" si="1"/>
        <v>15</v>
      </c>
      <c r="T18" s="61">
        <f t="shared" si="2"/>
        <v>126</v>
      </c>
    </row>
    <row r="19" customHeight="1" spans="1:20">
      <c r="A19" s="60">
        <v>46215</v>
      </c>
      <c r="B19" s="61">
        <v>1</v>
      </c>
      <c r="C19" s="61"/>
      <c r="D19" s="61">
        <v>5</v>
      </c>
      <c r="E19" s="61"/>
      <c r="F19" s="61">
        <v>0</v>
      </c>
      <c r="G19" s="61"/>
      <c r="H19" s="61">
        <v>1</v>
      </c>
      <c r="I19" s="61"/>
      <c r="J19" s="61">
        <v>0</v>
      </c>
      <c r="K19" s="61"/>
      <c r="L19" s="61">
        <v>0</v>
      </c>
      <c r="M19" s="61"/>
      <c r="N19" s="61">
        <v>0</v>
      </c>
      <c r="O19" s="61"/>
      <c r="P19" s="61">
        <v>0</v>
      </c>
      <c r="Q19" s="61"/>
      <c r="R19" s="61">
        <f t="shared" si="0"/>
        <v>95</v>
      </c>
      <c r="S19" s="61">
        <f t="shared" si="1"/>
        <v>5</v>
      </c>
      <c r="T19" s="61">
        <f t="shared" si="2"/>
        <v>90</v>
      </c>
    </row>
    <row r="20" customHeight="1" spans="1:20">
      <c r="A20" s="60">
        <v>46216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>
        <f t="shared" si="0"/>
        <v>0</v>
      </c>
      <c r="S20" s="61">
        <f t="shared" si="1"/>
        <v>0</v>
      </c>
      <c r="T20" s="61">
        <f t="shared" si="2"/>
        <v>0</v>
      </c>
    </row>
    <row r="21" customHeight="1" spans="1:20">
      <c r="A21" s="60">
        <v>46217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>
        <f t="shared" si="0"/>
        <v>0</v>
      </c>
      <c r="S21" s="61">
        <f t="shared" si="1"/>
        <v>0</v>
      </c>
      <c r="T21" s="61">
        <f t="shared" si="2"/>
        <v>0</v>
      </c>
    </row>
    <row r="22" customHeight="1" spans="1:20">
      <c r="A22" s="60">
        <v>46218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>
        <f t="shared" si="0"/>
        <v>0</v>
      </c>
      <c r="S22" s="61">
        <f t="shared" si="1"/>
        <v>0</v>
      </c>
      <c r="T22" s="61">
        <f t="shared" si="2"/>
        <v>0</v>
      </c>
    </row>
    <row r="23" customHeight="1" spans="1:20">
      <c r="A23" s="60">
        <v>46219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>
        <f t="shared" si="0"/>
        <v>0</v>
      </c>
      <c r="S23" s="61">
        <f t="shared" si="1"/>
        <v>0</v>
      </c>
      <c r="T23" s="61">
        <f t="shared" si="2"/>
        <v>0</v>
      </c>
    </row>
    <row r="24" customHeight="1" spans="1:20">
      <c r="A24" s="60">
        <v>46220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>
        <f t="shared" si="0"/>
        <v>0</v>
      </c>
      <c r="S24" s="61">
        <f t="shared" si="1"/>
        <v>0</v>
      </c>
      <c r="T24" s="61">
        <f t="shared" si="2"/>
        <v>0</v>
      </c>
    </row>
    <row r="25" customHeight="1" spans="1:20">
      <c r="A25" s="60">
        <v>46221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>
        <f t="shared" si="0"/>
        <v>0</v>
      </c>
      <c r="S25" s="61">
        <f t="shared" si="1"/>
        <v>0</v>
      </c>
      <c r="T25" s="61">
        <f t="shared" si="2"/>
        <v>0</v>
      </c>
    </row>
    <row r="26" ht="17" customHeight="1" spans="1:20">
      <c r="A26" s="60">
        <v>46222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>
        <f t="shared" si="0"/>
        <v>0</v>
      </c>
      <c r="S26" s="61">
        <f t="shared" si="1"/>
        <v>0</v>
      </c>
      <c r="T26" s="61">
        <f t="shared" si="2"/>
        <v>0</v>
      </c>
    </row>
    <row r="27" customHeight="1" spans="1:20">
      <c r="A27" s="60">
        <v>46223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>
        <f t="shared" si="0"/>
        <v>0</v>
      </c>
      <c r="S27" s="61">
        <f t="shared" si="1"/>
        <v>0</v>
      </c>
      <c r="T27" s="61">
        <f t="shared" si="2"/>
        <v>0</v>
      </c>
    </row>
    <row r="28" customHeight="1" spans="1:20">
      <c r="A28" s="60">
        <v>46224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>
        <f t="shared" si="0"/>
        <v>0</v>
      </c>
      <c r="S28" s="61">
        <f t="shared" si="1"/>
        <v>0</v>
      </c>
      <c r="T28" s="61">
        <f t="shared" si="2"/>
        <v>0</v>
      </c>
    </row>
    <row r="29" customHeight="1" spans="1:20">
      <c r="A29" s="60">
        <v>46225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>
        <f t="shared" si="0"/>
        <v>0</v>
      </c>
      <c r="S29" s="61">
        <f t="shared" si="1"/>
        <v>0</v>
      </c>
      <c r="T29" s="61">
        <f t="shared" si="2"/>
        <v>0</v>
      </c>
    </row>
    <row r="30" customHeight="1" spans="1:20">
      <c r="A30" s="60">
        <v>46226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>
        <f t="shared" si="0"/>
        <v>0</v>
      </c>
      <c r="S30" s="61">
        <f t="shared" si="1"/>
        <v>0</v>
      </c>
      <c r="T30" s="61">
        <f t="shared" si="2"/>
        <v>0</v>
      </c>
    </row>
    <row r="31" customHeight="1" spans="1:20">
      <c r="A31" s="60">
        <v>46227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>
        <f t="shared" si="0"/>
        <v>0</v>
      </c>
      <c r="S31" s="61">
        <f t="shared" si="1"/>
        <v>0</v>
      </c>
      <c r="T31" s="61">
        <f t="shared" si="2"/>
        <v>0</v>
      </c>
    </row>
    <row r="32" customHeight="1" spans="1:20">
      <c r="A32" s="60">
        <v>46228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>
        <f t="shared" si="0"/>
        <v>0</v>
      </c>
      <c r="S32" s="61">
        <f t="shared" si="1"/>
        <v>0</v>
      </c>
      <c r="T32" s="61">
        <f t="shared" si="2"/>
        <v>0</v>
      </c>
    </row>
    <row r="33" customHeight="1" spans="1:20">
      <c r="A33" s="60">
        <v>46229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>
        <f t="shared" si="0"/>
        <v>0</v>
      </c>
      <c r="S33" s="61">
        <f t="shared" si="1"/>
        <v>0</v>
      </c>
      <c r="T33" s="61">
        <f t="shared" si="2"/>
        <v>0</v>
      </c>
    </row>
    <row r="34" customHeight="1" spans="1:20">
      <c r="A34" s="60">
        <v>46230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>
        <f t="shared" si="0"/>
        <v>0</v>
      </c>
      <c r="S34" s="61">
        <f t="shared" si="1"/>
        <v>0</v>
      </c>
      <c r="T34" s="61">
        <f t="shared" si="2"/>
        <v>0</v>
      </c>
    </row>
    <row r="35" customHeight="1" spans="1:20">
      <c r="A35" s="60">
        <v>46231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>
        <f t="shared" si="0"/>
        <v>0</v>
      </c>
      <c r="S35" s="61">
        <f t="shared" si="1"/>
        <v>0</v>
      </c>
      <c r="T35" s="61">
        <f t="shared" si="2"/>
        <v>0</v>
      </c>
    </row>
    <row r="36" customHeight="1" spans="1:20">
      <c r="A36" s="60">
        <v>46232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>
        <f t="shared" si="0"/>
        <v>0</v>
      </c>
      <c r="S36" s="61">
        <f t="shared" si="1"/>
        <v>0</v>
      </c>
      <c r="T36" s="61">
        <f t="shared" si="2"/>
        <v>0</v>
      </c>
    </row>
    <row r="37" customHeight="1" spans="1:20">
      <c r="A37" s="60">
        <v>46233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>
        <f t="shared" si="0"/>
        <v>0</v>
      </c>
      <c r="S37" s="61">
        <f t="shared" si="1"/>
        <v>0</v>
      </c>
      <c r="T37" s="61">
        <f t="shared" si="2"/>
        <v>0</v>
      </c>
    </row>
    <row r="38" customHeight="1" spans="1:20">
      <c r="A38" s="60">
        <v>46234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>
        <f t="shared" si="0"/>
        <v>0</v>
      </c>
      <c r="S38" s="61">
        <f t="shared" si="1"/>
        <v>0</v>
      </c>
      <c r="T38" s="61">
        <f t="shared" si="2"/>
        <v>0</v>
      </c>
    </row>
    <row r="39" customHeight="1" spans="1:20">
      <c r="A39" s="67" t="s">
        <v>62</v>
      </c>
      <c r="B39" s="68">
        <f t="shared" ref="B39:F39" si="3">SUM(B9:C38)</f>
        <v>15</v>
      </c>
      <c r="C39" s="69"/>
      <c r="D39" s="68">
        <f t="shared" si="3"/>
        <v>32</v>
      </c>
      <c r="E39" s="69"/>
      <c r="F39" s="68">
        <f t="shared" si="3"/>
        <v>0</v>
      </c>
      <c r="G39" s="69"/>
      <c r="H39" s="68">
        <f t="shared" ref="H39:L39" si="4">SUM(H9:I38)</f>
        <v>8</v>
      </c>
      <c r="I39" s="69"/>
      <c r="J39" s="68">
        <f t="shared" si="4"/>
        <v>0</v>
      </c>
      <c r="K39" s="69"/>
      <c r="L39" s="68">
        <f t="shared" si="4"/>
        <v>0</v>
      </c>
      <c r="M39" s="69"/>
      <c r="N39" s="68">
        <f>SUM(N9:O38)</f>
        <v>0</v>
      </c>
      <c r="O39" s="69"/>
      <c r="P39" s="68">
        <f>SUM(P9:Q38)</f>
        <v>1</v>
      </c>
      <c r="Q39" s="69"/>
      <c r="R39" s="81">
        <f t="shared" ref="R39:T39" si="5">SUM(R9:R38)</f>
        <v>821</v>
      </c>
      <c r="S39" s="81">
        <f t="shared" si="5"/>
        <v>75</v>
      </c>
      <c r="T39" s="81">
        <f t="shared" si="5"/>
        <v>746</v>
      </c>
    </row>
  </sheetData>
  <mergeCells count="294">
    <mergeCell ref="A1:U1"/>
    <mergeCell ref="B2:C2"/>
    <mergeCell ref="D2:E2"/>
    <mergeCell ref="F2:G2"/>
    <mergeCell ref="H2:I2"/>
    <mergeCell ref="J2:K2"/>
    <mergeCell ref="L2:M2"/>
    <mergeCell ref="N2:O2"/>
    <mergeCell ref="P2:Q2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17:C17"/>
    <mergeCell ref="D17:E17"/>
    <mergeCell ref="F17:G17"/>
    <mergeCell ref="H17:I17"/>
    <mergeCell ref="J17:K17"/>
    <mergeCell ref="L17:M17"/>
    <mergeCell ref="N17:O17"/>
    <mergeCell ref="P17:Q17"/>
    <mergeCell ref="B18:C18"/>
    <mergeCell ref="D18:E18"/>
    <mergeCell ref="F18:G18"/>
    <mergeCell ref="H18:I18"/>
    <mergeCell ref="J18:K18"/>
    <mergeCell ref="L18:M18"/>
    <mergeCell ref="N18:O18"/>
    <mergeCell ref="P18:Q18"/>
    <mergeCell ref="B19:C19"/>
    <mergeCell ref="D19:E19"/>
    <mergeCell ref="F19:G19"/>
    <mergeCell ref="H19:I19"/>
    <mergeCell ref="J19:K19"/>
    <mergeCell ref="L19:M19"/>
    <mergeCell ref="N19:O19"/>
    <mergeCell ref="P19:Q19"/>
    <mergeCell ref="B20:C20"/>
    <mergeCell ref="D20:E20"/>
    <mergeCell ref="F20:G20"/>
    <mergeCell ref="H20:I20"/>
    <mergeCell ref="J20:K20"/>
    <mergeCell ref="L20:M20"/>
    <mergeCell ref="N20:O20"/>
    <mergeCell ref="P20:Q20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  <mergeCell ref="B32:C32"/>
    <mergeCell ref="D32:E32"/>
    <mergeCell ref="F32:G32"/>
    <mergeCell ref="H32:I32"/>
    <mergeCell ref="J32:K32"/>
    <mergeCell ref="L32:M32"/>
    <mergeCell ref="N32:O32"/>
    <mergeCell ref="P32:Q32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L36:M36"/>
    <mergeCell ref="N36:O36"/>
    <mergeCell ref="P36:Q36"/>
    <mergeCell ref="B37:C37"/>
    <mergeCell ref="D37:E37"/>
    <mergeCell ref="F37:G37"/>
    <mergeCell ref="H37:I37"/>
    <mergeCell ref="J37:K37"/>
    <mergeCell ref="L37:M37"/>
    <mergeCell ref="N37:O37"/>
    <mergeCell ref="P37:Q37"/>
    <mergeCell ref="B38:C38"/>
    <mergeCell ref="D38:E38"/>
    <mergeCell ref="F38:G38"/>
    <mergeCell ref="H38:I38"/>
    <mergeCell ref="J38:K38"/>
    <mergeCell ref="L38:M38"/>
    <mergeCell ref="N38:O38"/>
    <mergeCell ref="P38:Q38"/>
    <mergeCell ref="B39:C39"/>
    <mergeCell ref="D39:E39"/>
    <mergeCell ref="F39:G39"/>
    <mergeCell ref="H39:I39"/>
    <mergeCell ref="J39:K39"/>
    <mergeCell ref="L39:M39"/>
    <mergeCell ref="N39:O39"/>
    <mergeCell ref="P39:Q39"/>
    <mergeCell ref="A2:A4"/>
    <mergeCell ref="R2:R4"/>
    <mergeCell ref="S2:S4"/>
    <mergeCell ref="T2:T4"/>
    <mergeCell ref="U2:U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Y39"/>
  <sheetViews>
    <sheetView workbookViewId="0">
      <pane ySplit="4" topLeftCell="A5" activePane="bottomLeft" state="frozen"/>
      <selection/>
      <selection pane="bottomLeft" activeCell="T16" sqref="T16:U16"/>
    </sheetView>
  </sheetViews>
  <sheetFormatPr defaultColWidth="9" defaultRowHeight="15" customHeight="1"/>
  <cols>
    <col min="1" max="1" width="12.875" style="20" customWidth="1"/>
    <col min="2" max="21" width="6.92307692307692" style="20" customWidth="1"/>
    <col min="22" max="24" width="12.625" style="20" customWidth="1"/>
    <col min="25" max="25" width="26.0288461538462" style="20" customWidth="1"/>
  </cols>
  <sheetData>
    <row r="1" ht="14" customHeight="1" spans="1:25">
      <c r="A1" s="52" t="s">
        <v>15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4"/>
    </row>
    <row r="2" ht="14" customHeight="1" spans="1:25">
      <c r="A2" s="5" t="s">
        <v>42</v>
      </c>
      <c r="B2" s="55" t="s">
        <v>404</v>
      </c>
      <c r="C2" s="55"/>
      <c r="D2" s="55" t="s">
        <v>405</v>
      </c>
      <c r="E2" s="55"/>
      <c r="F2" s="55" t="s">
        <v>406</v>
      </c>
      <c r="G2" s="55"/>
      <c r="H2" s="55" t="s">
        <v>407</v>
      </c>
      <c r="I2" s="55"/>
      <c r="J2" s="55" t="s">
        <v>408</v>
      </c>
      <c r="K2" s="55"/>
      <c r="L2" s="55" t="s">
        <v>409</v>
      </c>
      <c r="M2" s="55"/>
      <c r="N2" s="55" t="s">
        <v>410</v>
      </c>
      <c r="O2" s="55"/>
      <c r="P2" s="55" t="s">
        <v>411</v>
      </c>
      <c r="Q2" s="55"/>
      <c r="R2" s="56" t="s">
        <v>412</v>
      </c>
      <c r="S2" s="57"/>
      <c r="T2" s="56" t="s">
        <v>413</v>
      </c>
      <c r="U2" s="57"/>
      <c r="V2" s="58" t="s">
        <v>396</v>
      </c>
      <c r="W2" s="58" t="s">
        <v>397</v>
      </c>
      <c r="X2" s="58" t="s">
        <v>398</v>
      </c>
      <c r="Y2" s="58" t="s">
        <v>41</v>
      </c>
    </row>
    <row r="3" ht="14" customHeight="1" spans="1:25">
      <c r="A3" s="5"/>
      <c r="B3" s="59" t="s">
        <v>399</v>
      </c>
      <c r="C3" s="59" t="s">
        <v>400</v>
      </c>
      <c r="D3" s="59" t="s">
        <v>399</v>
      </c>
      <c r="E3" s="59" t="s">
        <v>400</v>
      </c>
      <c r="F3" s="59" t="s">
        <v>399</v>
      </c>
      <c r="G3" s="59" t="s">
        <v>400</v>
      </c>
      <c r="H3" s="59" t="s">
        <v>399</v>
      </c>
      <c r="I3" s="59" t="s">
        <v>400</v>
      </c>
      <c r="J3" s="59" t="s">
        <v>399</v>
      </c>
      <c r="K3" s="59" t="s">
        <v>400</v>
      </c>
      <c r="L3" s="59" t="s">
        <v>399</v>
      </c>
      <c r="M3" s="59" t="s">
        <v>400</v>
      </c>
      <c r="N3" s="59" t="s">
        <v>399</v>
      </c>
      <c r="O3" s="59" t="s">
        <v>400</v>
      </c>
      <c r="P3" s="59" t="s">
        <v>399</v>
      </c>
      <c r="Q3" s="59" t="s">
        <v>400</v>
      </c>
      <c r="R3" s="59" t="s">
        <v>399</v>
      </c>
      <c r="S3" s="59" t="s">
        <v>400</v>
      </c>
      <c r="T3" s="59" t="s">
        <v>399</v>
      </c>
      <c r="U3" s="59" t="s">
        <v>400</v>
      </c>
      <c r="V3" s="58"/>
      <c r="W3" s="58"/>
      <c r="X3" s="58"/>
      <c r="Y3" s="58"/>
    </row>
    <row r="4" ht="14" customHeight="1" spans="1:25">
      <c r="A4" s="5"/>
      <c r="B4" s="59">
        <v>1.05</v>
      </c>
      <c r="C4" s="59">
        <v>2</v>
      </c>
      <c r="D4" s="59">
        <v>3.67</v>
      </c>
      <c r="E4" s="59">
        <v>5</v>
      </c>
      <c r="F4" s="59">
        <v>4.34</v>
      </c>
      <c r="G4" s="59">
        <v>7</v>
      </c>
      <c r="H4" s="59">
        <v>3.54</v>
      </c>
      <c r="I4" s="59">
        <v>5</v>
      </c>
      <c r="J4" s="59"/>
      <c r="K4" s="59">
        <v>1</v>
      </c>
      <c r="L4" s="59">
        <v>2.8</v>
      </c>
      <c r="M4" s="59">
        <v>5</v>
      </c>
      <c r="N4" s="59">
        <v>5.34</v>
      </c>
      <c r="O4" s="59">
        <v>8</v>
      </c>
      <c r="P4" s="59">
        <v>1.7</v>
      </c>
      <c r="Q4" s="59">
        <v>3</v>
      </c>
      <c r="R4" s="59">
        <v>0</v>
      </c>
      <c r="S4" s="59">
        <v>5</v>
      </c>
      <c r="T4" s="59">
        <v>0</v>
      </c>
      <c r="U4" s="59">
        <v>4</v>
      </c>
      <c r="V4" s="58"/>
      <c r="W4" s="58"/>
      <c r="X4" s="58"/>
      <c r="Y4" s="58"/>
    </row>
    <row r="5" customHeight="1" spans="1:25">
      <c r="A5" s="60">
        <v>46204</v>
      </c>
      <c r="B5" s="61">
        <v>3</v>
      </c>
      <c r="C5" s="61"/>
      <c r="D5" s="61">
        <v>6</v>
      </c>
      <c r="E5" s="61"/>
      <c r="F5" s="61">
        <v>3</v>
      </c>
      <c r="G5" s="61"/>
      <c r="H5" s="61">
        <v>0</v>
      </c>
      <c r="I5" s="61"/>
      <c r="J5" s="61">
        <v>1</v>
      </c>
      <c r="K5" s="61"/>
      <c r="L5" s="61">
        <v>0</v>
      </c>
      <c r="M5" s="61"/>
      <c r="N5" s="61">
        <v>0</v>
      </c>
      <c r="O5" s="61"/>
      <c r="P5" s="61">
        <v>0</v>
      </c>
      <c r="Q5" s="61"/>
      <c r="R5" s="61">
        <v>0</v>
      </c>
      <c r="S5" s="61"/>
      <c r="T5" s="61">
        <v>0</v>
      </c>
      <c r="U5" s="61"/>
      <c r="V5" s="61">
        <f t="shared" ref="V5:V35" si="0">$C$4*B5+$E$4*D5+$G$4*F5+$I$4*H5+$K$4*J5+$M$4*L5+$O$4*N5+$Q$4*P5+$S$4*R5+$U$4*T5</f>
        <v>58</v>
      </c>
      <c r="W5" s="61">
        <f t="shared" ref="W5:W35" si="1">$C$4*C5+$E$4*E5+$G$4*G5+$I$4*I5+$K$4*K5+$M$4*M5+$O$4*O5+$Q$4*Q5+$S$4*S5+$U$4*U5</f>
        <v>0</v>
      </c>
      <c r="X5" s="61">
        <f t="shared" ref="X5:X35" si="2">$C$4*D5+$E$4*F5+$G$4*H5+$I$4*J5+$K$4*L5+$M$4*N5+$O$4*P5+$Q$4*R5+$S$4*T5+$U$4*V5</f>
        <v>264</v>
      </c>
      <c r="Y5" s="61"/>
    </row>
    <row r="6" ht="13" customHeight="1" spans="1:25">
      <c r="A6" s="60">
        <v>46205</v>
      </c>
      <c r="B6" s="61">
        <v>4</v>
      </c>
      <c r="C6" s="61"/>
      <c r="D6" s="61">
        <v>1</v>
      </c>
      <c r="E6" s="61"/>
      <c r="F6" s="61">
        <v>0</v>
      </c>
      <c r="G6" s="61"/>
      <c r="H6" s="61">
        <v>0</v>
      </c>
      <c r="I6" s="61"/>
      <c r="J6" s="61">
        <v>0</v>
      </c>
      <c r="K6" s="61"/>
      <c r="L6" s="61">
        <v>1</v>
      </c>
      <c r="M6" s="61"/>
      <c r="N6" s="61">
        <v>0</v>
      </c>
      <c r="O6" s="61"/>
      <c r="P6" s="61">
        <v>0</v>
      </c>
      <c r="Q6" s="61"/>
      <c r="R6" s="61">
        <v>0</v>
      </c>
      <c r="S6" s="61"/>
      <c r="T6" s="61">
        <v>0</v>
      </c>
      <c r="U6" s="61"/>
      <c r="V6" s="61">
        <f t="shared" si="0"/>
        <v>18</v>
      </c>
      <c r="W6" s="61">
        <f t="shared" si="1"/>
        <v>0</v>
      </c>
      <c r="X6" s="61">
        <f t="shared" si="2"/>
        <v>75</v>
      </c>
      <c r="Y6" s="62"/>
    </row>
    <row r="7" customHeight="1" spans="1:25">
      <c r="A7" s="60">
        <v>46206</v>
      </c>
      <c r="B7" s="61">
        <v>3</v>
      </c>
      <c r="C7" s="61"/>
      <c r="D7" s="61">
        <v>3</v>
      </c>
      <c r="E7" s="61"/>
      <c r="F7" s="61">
        <v>0</v>
      </c>
      <c r="G7" s="61"/>
      <c r="H7" s="61">
        <v>0</v>
      </c>
      <c r="I7" s="61"/>
      <c r="J7" s="61">
        <v>2</v>
      </c>
      <c r="K7" s="61"/>
      <c r="L7" s="61">
        <v>0</v>
      </c>
      <c r="M7" s="61"/>
      <c r="N7" s="61">
        <v>0</v>
      </c>
      <c r="O7" s="61"/>
      <c r="P7" s="61">
        <v>0</v>
      </c>
      <c r="Q7" s="61"/>
      <c r="R7" s="61">
        <v>0</v>
      </c>
      <c r="S7" s="61"/>
      <c r="T7" s="61">
        <v>0</v>
      </c>
      <c r="U7" s="61"/>
      <c r="V7" s="61">
        <f t="shared" si="0"/>
        <v>23</v>
      </c>
      <c r="W7" s="61">
        <f t="shared" si="1"/>
        <v>0</v>
      </c>
      <c r="X7" s="61">
        <f t="shared" si="2"/>
        <v>108</v>
      </c>
      <c r="Y7" s="62"/>
    </row>
    <row r="8" customHeight="1" spans="1:25">
      <c r="A8" s="60">
        <v>46207</v>
      </c>
      <c r="B8" s="61">
        <v>2</v>
      </c>
      <c r="C8" s="61"/>
      <c r="D8" s="61">
        <v>3</v>
      </c>
      <c r="E8" s="61"/>
      <c r="F8" s="61">
        <v>1</v>
      </c>
      <c r="G8" s="61"/>
      <c r="H8" s="61">
        <v>0</v>
      </c>
      <c r="I8" s="61"/>
      <c r="J8" s="61">
        <v>1</v>
      </c>
      <c r="K8" s="61"/>
      <c r="L8" s="61">
        <v>0</v>
      </c>
      <c r="M8" s="61"/>
      <c r="N8" s="61">
        <v>0</v>
      </c>
      <c r="O8" s="61"/>
      <c r="P8" s="61">
        <v>0</v>
      </c>
      <c r="Q8" s="61"/>
      <c r="R8" s="61">
        <v>0</v>
      </c>
      <c r="S8" s="61"/>
      <c r="T8" s="61">
        <v>0</v>
      </c>
      <c r="U8" s="61"/>
      <c r="V8" s="61">
        <f t="shared" si="0"/>
        <v>27</v>
      </c>
      <c r="W8" s="61">
        <f t="shared" si="1"/>
        <v>0</v>
      </c>
      <c r="X8" s="61">
        <f t="shared" si="2"/>
        <v>124</v>
      </c>
      <c r="Y8" s="61"/>
    </row>
    <row r="9" customHeight="1" spans="1:25">
      <c r="A9" s="60">
        <v>46208</v>
      </c>
      <c r="B9" s="61">
        <v>6</v>
      </c>
      <c r="C9" s="61"/>
      <c r="D9" s="61">
        <v>1</v>
      </c>
      <c r="E9" s="61"/>
      <c r="F9" s="61">
        <v>0</v>
      </c>
      <c r="G9" s="61"/>
      <c r="H9" s="61">
        <v>0</v>
      </c>
      <c r="I9" s="61"/>
      <c r="J9" s="61">
        <v>1</v>
      </c>
      <c r="K9" s="61"/>
      <c r="L9" s="61">
        <v>1</v>
      </c>
      <c r="M9" s="61"/>
      <c r="N9" s="61">
        <v>0</v>
      </c>
      <c r="O9" s="61"/>
      <c r="P9" s="61">
        <v>0</v>
      </c>
      <c r="Q9" s="61"/>
      <c r="R9" s="61">
        <v>2</v>
      </c>
      <c r="S9" s="61"/>
      <c r="T9" s="61">
        <v>0</v>
      </c>
      <c r="U9" s="61"/>
      <c r="V9" s="61">
        <f t="shared" si="0"/>
        <v>33</v>
      </c>
      <c r="W9" s="61">
        <f t="shared" si="1"/>
        <v>0</v>
      </c>
      <c r="X9" s="61">
        <f t="shared" si="2"/>
        <v>146</v>
      </c>
      <c r="Y9" s="61"/>
    </row>
    <row r="10" customHeight="1" spans="1:25">
      <c r="A10" s="60">
        <v>46209</v>
      </c>
      <c r="B10" s="61">
        <v>6</v>
      </c>
      <c r="C10" s="61"/>
      <c r="D10" s="61">
        <v>1</v>
      </c>
      <c r="E10" s="61"/>
      <c r="F10" s="61">
        <v>2</v>
      </c>
      <c r="G10" s="61"/>
      <c r="H10" s="61">
        <v>0</v>
      </c>
      <c r="I10" s="61"/>
      <c r="J10" s="61">
        <v>0</v>
      </c>
      <c r="K10" s="61"/>
      <c r="L10" s="61">
        <v>0</v>
      </c>
      <c r="M10" s="61"/>
      <c r="N10" s="61">
        <v>0</v>
      </c>
      <c r="O10" s="61"/>
      <c r="P10" s="61">
        <v>0</v>
      </c>
      <c r="Q10" s="61"/>
      <c r="R10" s="61">
        <v>0</v>
      </c>
      <c r="S10" s="61"/>
      <c r="T10" s="61">
        <v>0</v>
      </c>
      <c r="U10" s="61"/>
      <c r="V10" s="61">
        <f t="shared" si="0"/>
        <v>31</v>
      </c>
      <c r="W10" s="61">
        <f t="shared" si="1"/>
        <v>0</v>
      </c>
      <c r="X10" s="61">
        <f t="shared" si="2"/>
        <v>136</v>
      </c>
      <c r="Y10" s="63"/>
    </row>
    <row r="11" customHeight="1" spans="1:25">
      <c r="A11" s="60">
        <v>46210</v>
      </c>
      <c r="B11" s="61">
        <v>7</v>
      </c>
      <c r="C11" s="61"/>
      <c r="D11" s="61">
        <v>2</v>
      </c>
      <c r="E11" s="61"/>
      <c r="F11" s="61">
        <v>0</v>
      </c>
      <c r="G11" s="61"/>
      <c r="H11" s="61">
        <v>0</v>
      </c>
      <c r="I11" s="61"/>
      <c r="J11" s="61">
        <v>0</v>
      </c>
      <c r="K11" s="61"/>
      <c r="L11" s="61">
        <v>0</v>
      </c>
      <c r="M11" s="61"/>
      <c r="N11" s="61">
        <v>0</v>
      </c>
      <c r="O11" s="61"/>
      <c r="P11" s="61">
        <v>0</v>
      </c>
      <c r="Q11" s="61"/>
      <c r="R11" s="61">
        <v>0</v>
      </c>
      <c r="S11" s="61"/>
      <c r="T11" s="61">
        <v>0</v>
      </c>
      <c r="U11" s="61"/>
      <c r="V11" s="61">
        <f t="shared" si="0"/>
        <v>24</v>
      </c>
      <c r="W11" s="61">
        <f t="shared" si="1"/>
        <v>0</v>
      </c>
      <c r="X11" s="61">
        <f t="shared" si="2"/>
        <v>100</v>
      </c>
      <c r="Y11" s="61"/>
    </row>
    <row r="12" customHeight="1" spans="1:25">
      <c r="A12" s="60">
        <v>46211</v>
      </c>
      <c r="B12" s="61">
        <v>4</v>
      </c>
      <c r="C12" s="61"/>
      <c r="D12" s="61">
        <v>4</v>
      </c>
      <c r="E12" s="61"/>
      <c r="F12" s="61">
        <v>0</v>
      </c>
      <c r="G12" s="61"/>
      <c r="H12" s="61">
        <v>0</v>
      </c>
      <c r="I12" s="61"/>
      <c r="J12" s="61">
        <v>3</v>
      </c>
      <c r="K12" s="61"/>
      <c r="L12" s="61">
        <v>1</v>
      </c>
      <c r="M12" s="61"/>
      <c r="N12" s="61">
        <v>0</v>
      </c>
      <c r="O12" s="61"/>
      <c r="P12" s="61">
        <v>0</v>
      </c>
      <c r="Q12" s="61"/>
      <c r="R12" s="61">
        <v>2</v>
      </c>
      <c r="S12" s="61"/>
      <c r="T12" s="61">
        <v>0</v>
      </c>
      <c r="U12" s="61"/>
      <c r="V12" s="61">
        <f t="shared" si="0"/>
        <v>46</v>
      </c>
      <c r="W12" s="61">
        <f t="shared" si="1"/>
        <v>0</v>
      </c>
      <c r="X12" s="61">
        <f t="shared" si="2"/>
        <v>214</v>
      </c>
      <c r="Y12" s="61"/>
    </row>
    <row r="13" ht="16" customHeight="1" spans="1:25">
      <c r="A13" s="60">
        <v>46212</v>
      </c>
      <c r="B13" s="61">
        <v>2</v>
      </c>
      <c r="C13" s="61"/>
      <c r="D13" s="61">
        <v>3</v>
      </c>
      <c r="E13" s="61"/>
      <c r="F13" s="61">
        <v>0</v>
      </c>
      <c r="G13" s="61"/>
      <c r="H13" s="61">
        <v>0</v>
      </c>
      <c r="I13" s="61"/>
      <c r="J13" s="61">
        <v>1</v>
      </c>
      <c r="K13" s="61"/>
      <c r="L13" s="61">
        <v>1</v>
      </c>
      <c r="M13" s="61"/>
      <c r="N13" s="61">
        <v>0</v>
      </c>
      <c r="O13" s="61"/>
      <c r="P13" s="61">
        <v>0</v>
      </c>
      <c r="Q13" s="61"/>
      <c r="R13" s="61">
        <v>0</v>
      </c>
      <c r="S13" s="61"/>
      <c r="T13" s="61">
        <v>0</v>
      </c>
      <c r="U13" s="61"/>
      <c r="V13" s="61">
        <f t="shared" si="0"/>
        <v>25</v>
      </c>
      <c r="W13" s="61">
        <f t="shared" si="1"/>
        <v>0</v>
      </c>
      <c r="X13" s="61">
        <f t="shared" si="2"/>
        <v>112</v>
      </c>
      <c r="Y13" s="62"/>
    </row>
    <row r="14" customHeight="1" spans="1:25">
      <c r="A14" s="60">
        <v>46213</v>
      </c>
      <c r="B14" s="61">
        <v>3</v>
      </c>
      <c r="C14" s="61"/>
      <c r="D14" s="61">
        <v>0</v>
      </c>
      <c r="E14" s="61"/>
      <c r="F14" s="61">
        <v>5</v>
      </c>
      <c r="G14" s="61"/>
      <c r="H14" s="61">
        <v>0</v>
      </c>
      <c r="I14" s="61"/>
      <c r="J14" s="61">
        <v>1</v>
      </c>
      <c r="K14" s="61"/>
      <c r="L14" s="61">
        <v>1</v>
      </c>
      <c r="M14" s="61"/>
      <c r="N14" s="61">
        <v>0</v>
      </c>
      <c r="O14" s="61"/>
      <c r="P14" s="61">
        <v>0</v>
      </c>
      <c r="Q14" s="61"/>
      <c r="R14" s="61">
        <v>1</v>
      </c>
      <c r="S14" s="61"/>
      <c r="T14" s="61">
        <v>0</v>
      </c>
      <c r="U14" s="61"/>
      <c r="V14" s="61">
        <f t="shared" si="0"/>
        <v>52</v>
      </c>
      <c r="W14" s="61">
        <f t="shared" si="1"/>
        <v>0</v>
      </c>
      <c r="X14" s="61">
        <f t="shared" si="2"/>
        <v>242</v>
      </c>
    </row>
    <row r="15" customHeight="1" spans="1:25">
      <c r="A15" s="60">
        <v>46214</v>
      </c>
      <c r="B15" s="61">
        <v>0</v>
      </c>
      <c r="C15" s="61"/>
      <c r="D15" s="61">
        <v>0</v>
      </c>
      <c r="E15" s="61"/>
      <c r="F15" s="61">
        <v>0</v>
      </c>
      <c r="G15" s="61"/>
      <c r="H15" s="61">
        <v>0</v>
      </c>
      <c r="I15" s="61"/>
      <c r="J15" s="61">
        <v>1</v>
      </c>
      <c r="K15" s="61"/>
      <c r="L15" s="61">
        <v>1</v>
      </c>
      <c r="M15" s="61"/>
      <c r="N15" s="61">
        <v>0</v>
      </c>
      <c r="O15" s="61"/>
      <c r="P15" s="61">
        <v>0</v>
      </c>
      <c r="Q15" s="61"/>
      <c r="R15" s="61">
        <v>0</v>
      </c>
      <c r="S15" s="61"/>
      <c r="T15" s="61">
        <v>0</v>
      </c>
      <c r="U15" s="61"/>
      <c r="V15" s="61">
        <f t="shared" si="0"/>
        <v>6</v>
      </c>
      <c r="W15" s="61">
        <f t="shared" si="1"/>
        <v>0</v>
      </c>
      <c r="X15" s="61">
        <f t="shared" si="2"/>
        <v>30</v>
      </c>
      <c r="Y15" s="61"/>
    </row>
    <row r="16" customHeight="1" spans="1:25">
      <c r="A16" s="60">
        <v>46215</v>
      </c>
      <c r="B16" s="61">
        <v>2</v>
      </c>
      <c r="C16" s="61"/>
      <c r="D16" s="61">
        <v>0</v>
      </c>
      <c r="E16" s="61"/>
      <c r="F16" s="61">
        <v>1</v>
      </c>
      <c r="G16" s="61"/>
      <c r="H16" s="61">
        <v>0</v>
      </c>
      <c r="I16" s="61"/>
      <c r="J16" s="61">
        <v>0</v>
      </c>
      <c r="K16" s="61"/>
      <c r="L16" s="61">
        <v>0</v>
      </c>
      <c r="M16" s="61"/>
      <c r="N16" s="61">
        <v>0</v>
      </c>
      <c r="O16" s="61"/>
      <c r="P16" s="61">
        <v>0</v>
      </c>
      <c r="Q16" s="61"/>
      <c r="R16" s="61">
        <v>0</v>
      </c>
      <c r="S16" s="61"/>
      <c r="T16" s="61">
        <v>0</v>
      </c>
      <c r="U16" s="61"/>
      <c r="V16" s="61">
        <f t="shared" si="0"/>
        <v>11</v>
      </c>
      <c r="W16" s="61">
        <f t="shared" si="1"/>
        <v>0</v>
      </c>
      <c r="X16" s="61">
        <f t="shared" si="2"/>
        <v>49</v>
      </c>
      <c r="Y16" s="61"/>
    </row>
    <row r="17" customHeight="1" spans="1:25">
      <c r="A17" s="60">
        <v>46216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>
        <f t="shared" si="0"/>
        <v>0</v>
      </c>
      <c r="W17" s="61">
        <f t="shared" si="1"/>
        <v>0</v>
      </c>
      <c r="X17" s="61">
        <f t="shared" si="2"/>
        <v>0</v>
      </c>
      <c r="Y17" s="64"/>
    </row>
    <row r="18" customHeight="1" spans="1:25">
      <c r="A18" s="60">
        <v>46217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>
        <f t="shared" si="0"/>
        <v>0</v>
      </c>
      <c r="W18" s="61">
        <f t="shared" si="1"/>
        <v>0</v>
      </c>
      <c r="X18" s="61">
        <f t="shared" si="2"/>
        <v>0</v>
      </c>
      <c r="Y18" s="62"/>
    </row>
    <row r="19" customHeight="1" spans="1:25">
      <c r="A19" s="60">
        <v>46218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>
        <f t="shared" si="0"/>
        <v>0</v>
      </c>
      <c r="W19" s="61">
        <f t="shared" si="1"/>
        <v>0</v>
      </c>
      <c r="X19" s="61">
        <f t="shared" si="2"/>
        <v>0</v>
      </c>
      <c r="Y19" s="62"/>
    </row>
    <row r="20" customHeight="1" spans="1:25">
      <c r="A20" s="60">
        <v>46219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>
        <f t="shared" si="0"/>
        <v>0</v>
      </c>
      <c r="W20" s="61">
        <f t="shared" si="1"/>
        <v>0</v>
      </c>
      <c r="X20" s="61">
        <f t="shared" si="2"/>
        <v>0</v>
      </c>
      <c r="Y20" s="62"/>
    </row>
    <row r="21" customHeight="1" spans="1:25">
      <c r="A21" s="60">
        <v>46220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>
        <f t="shared" si="0"/>
        <v>0</v>
      </c>
      <c r="W21" s="61">
        <f t="shared" si="1"/>
        <v>0</v>
      </c>
      <c r="X21" s="61">
        <f t="shared" si="2"/>
        <v>0</v>
      </c>
      <c r="Y21" s="61"/>
    </row>
    <row r="22" customHeight="1" spans="1:25">
      <c r="A22" s="60">
        <v>46221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>
        <f t="shared" si="0"/>
        <v>0</v>
      </c>
      <c r="W22" s="61">
        <f t="shared" si="1"/>
        <v>0</v>
      </c>
      <c r="X22" s="61">
        <f t="shared" si="2"/>
        <v>0</v>
      </c>
      <c r="Y22" s="62"/>
    </row>
    <row r="23" customHeight="1" spans="1:25">
      <c r="A23" s="60">
        <v>46222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>
        <f t="shared" si="0"/>
        <v>0</v>
      </c>
      <c r="W23" s="61">
        <f t="shared" si="1"/>
        <v>0</v>
      </c>
      <c r="X23" s="61">
        <f t="shared" si="2"/>
        <v>0</v>
      </c>
    </row>
    <row r="24" customHeight="1" spans="1:25">
      <c r="A24" s="60">
        <v>46223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>
        <f t="shared" si="0"/>
        <v>0</v>
      </c>
      <c r="W24" s="61">
        <f t="shared" si="1"/>
        <v>0</v>
      </c>
      <c r="X24" s="61">
        <f t="shared" si="2"/>
        <v>0</v>
      </c>
      <c r="Y24" s="62"/>
    </row>
    <row r="25" customHeight="1" spans="1:25">
      <c r="A25" s="60">
        <v>46224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>
        <f t="shared" si="0"/>
        <v>0</v>
      </c>
      <c r="W25" s="61">
        <f t="shared" si="1"/>
        <v>0</v>
      </c>
      <c r="X25" s="61">
        <f t="shared" si="2"/>
        <v>0</v>
      </c>
      <c r="Y25" s="61"/>
    </row>
    <row r="26" customHeight="1" spans="1:25">
      <c r="A26" s="60">
        <v>46225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>
        <f t="shared" si="0"/>
        <v>0</v>
      </c>
      <c r="W26" s="61">
        <f t="shared" si="1"/>
        <v>0</v>
      </c>
      <c r="X26" s="61">
        <f t="shared" si="2"/>
        <v>0</v>
      </c>
    </row>
    <row r="27" customHeight="1" spans="1:25">
      <c r="A27" s="60">
        <v>46226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>
        <f t="shared" si="0"/>
        <v>0</v>
      </c>
      <c r="W27" s="61">
        <f t="shared" si="1"/>
        <v>0</v>
      </c>
      <c r="X27" s="61">
        <f t="shared" si="2"/>
        <v>0</v>
      </c>
      <c r="Y27" s="61"/>
    </row>
    <row r="28" customHeight="1" spans="1:25">
      <c r="A28" s="60">
        <v>46227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>
        <f t="shared" si="0"/>
        <v>0</v>
      </c>
      <c r="W28" s="61">
        <f t="shared" si="1"/>
        <v>0</v>
      </c>
      <c r="X28" s="61">
        <f t="shared" si="2"/>
        <v>0</v>
      </c>
      <c r="Y28" s="61"/>
    </row>
    <row r="29" customHeight="1" spans="1:25">
      <c r="A29" s="60">
        <v>46228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>
        <f t="shared" si="0"/>
        <v>0</v>
      </c>
      <c r="W29" s="61">
        <f t="shared" si="1"/>
        <v>0</v>
      </c>
      <c r="X29" s="61">
        <f t="shared" si="2"/>
        <v>0</v>
      </c>
      <c r="Y29" s="61"/>
    </row>
    <row r="30" customHeight="1" spans="1:25">
      <c r="A30" s="60">
        <v>46229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>
        <f t="shared" si="0"/>
        <v>0</v>
      </c>
      <c r="W30" s="61">
        <f t="shared" si="1"/>
        <v>0</v>
      </c>
      <c r="X30" s="61">
        <f t="shared" si="2"/>
        <v>0</v>
      </c>
      <c r="Y30" s="61"/>
    </row>
    <row r="31" customHeight="1" spans="1:25">
      <c r="A31" s="60">
        <v>46230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>
        <f t="shared" si="0"/>
        <v>0</v>
      </c>
      <c r="W31" s="61">
        <f t="shared" si="1"/>
        <v>0</v>
      </c>
      <c r="X31" s="61">
        <f t="shared" si="2"/>
        <v>0</v>
      </c>
      <c r="Y31" s="62"/>
    </row>
    <row r="32" customHeight="1" spans="1:25">
      <c r="A32" s="60">
        <v>46231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>
        <f t="shared" si="0"/>
        <v>0</v>
      </c>
      <c r="W32" s="61">
        <f t="shared" si="1"/>
        <v>0</v>
      </c>
      <c r="X32" s="61">
        <f t="shared" si="2"/>
        <v>0</v>
      </c>
      <c r="Y32" s="61"/>
    </row>
    <row r="33" s="51" customFormat="1" customHeight="1" spans="1:25">
      <c r="A33" s="60">
        <v>46232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>
        <f t="shared" si="0"/>
        <v>0</v>
      </c>
      <c r="W33" s="61">
        <f t="shared" si="1"/>
        <v>0</v>
      </c>
      <c r="X33" s="61">
        <f t="shared" si="2"/>
        <v>0</v>
      </c>
      <c r="Y33" s="61"/>
    </row>
    <row r="34" s="51" customFormat="1" customHeight="1" spans="1:25">
      <c r="A34" s="60">
        <v>46233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>
        <f t="shared" si="0"/>
        <v>0</v>
      </c>
      <c r="W34" s="61">
        <f t="shared" si="1"/>
        <v>0</v>
      </c>
      <c r="X34" s="61">
        <f t="shared" si="2"/>
        <v>0</v>
      </c>
      <c r="Y34" s="61"/>
    </row>
    <row r="35" s="51" customFormat="1" customHeight="1" spans="1:25">
      <c r="A35" s="60">
        <v>46234</v>
      </c>
      <c r="B35" s="65"/>
      <c r="C35" s="66"/>
      <c r="D35" s="65"/>
      <c r="E35" s="66"/>
      <c r="F35" s="65"/>
      <c r="G35" s="66"/>
      <c r="H35" s="65"/>
      <c r="I35" s="66"/>
      <c r="J35" s="65"/>
      <c r="K35" s="66"/>
      <c r="L35" s="65"/>
      <c r="M35" s="66"/>
      <c r="N35" s="65"/>
      <c r="O35" s="66"/>
      <c r="P35" s="65"/>
      <c r="Q35" s="66"/>
      <c r="R35" s="65"/>
      <c r="S35" s="66"/>
      <c r="T35" s="65"/>
      <c r="U35" s="66"/>
      <c r="V35" s="61">
        <f t="shared" si="0"/>
        <v>0</v>
      </c>
      <c r="W35" s="61">
        <f t="shared" si="1"/>
        <v>0</v>
      </c>
      <c r="X35" s="61">
        <f t="shared" si="2"/>
        <v>0</v>
      </c>
      <c r="Y35" s="61"/>
    </row>
    <row r="36" customHeight="1" spans="1:25">
      <c r="A36" s="67" t="s">
        <v>62</v>
      </c>
      <c r="B36" s="68">
        <f>SUM(B5:C35)</f>
        <v>42</v>
      </c>
      <c r="C36" s="69"/>
      <c r="D36" s="68">
        <f>SUM(D5:E35)</f>
        <v>24</v>
      </c>
      <c r="E36" s="69"/>
      <c r="F36" s="68">
        <f>SUM(F5:G35)</f>
        <v>12</v>
      </c>
      <c r="G36" s="69"/>
      <c r="H36" s="68">
        <f>SUM(H5:I35)</f>
        <v>0</v>
      </c>
      <c r="I36" s="69"/>
      <c r="J36" s="68">
        <f>SUM(J5:K35)</f>
        <v>11</v>
      </c>
      <c r="K36" s="69"/>
      <c r="L36" s="68">
        <f>SUM(L5:M35)</f>
        <v>6</v>
      </c>
      <c r="M36" s="69"/>
      <c r="N36" s="68">
        <f>SUM(N5:O35)</f>
        <v>0</v>
      </c>
      <c r="O36" s="69"/>
      <c r="P36" s="68">
        <f>SUM(P5:Q35)</f>
        <v>0</v>
      </c>
      <c r="Q36" s="69"/>
      <c r="R36" s="68">
        <f>SUM(R5:S35)</f>
        <v>5</v>
      </c>
      <c r="S36" s="69"/>
      <c r="T36" s="68">
        <f>SUM(T5:U35)</f>
        <v>0</v>
      </c>
      <c r="U36" s="69"/>
      <c r="V36" s="70">
        <f>SUM(V5:V35)</f>
        <v>354</v>
      </c>
      <c r="W36" s="70">
        <f>SUM(W5:W35)</f>
        <v>0</v>
      </c>
      <c r="X36" s="70">
        <f>SUM(X5:X35)</f>
        <v>1600</v>
      </c>
      <c r="Y36" s="70"/>
    </row>
    <row r="39" customHeight="1" spans="1:25">
      <c r="Q39" s="20">
        <v>3</v>
      </c>
    </row>
  </sheetData>
  <mergeCells count="336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2:A4"/>
    <mergeCell ref="V2:V4"/>
    <mergeCell ref="W2:W4"/>
    <mergeCell ref="X2:X4"/>
    <mergeCell ref="Y2:Y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153"/>
  <sheetViews>
    <sheetView topLeftCell="A146" workbookViewId="0">
      <selection activeCell="B151" sqref="B151"/>
    </sheetView>
  </sheetViews>
  <sheetFormatPr defaultColWidth="9" defaultRowHeight="13.5" customHeight="1"/>
  <cols>
    <col min="1" max="1" width="12.625" style="42" customWidth="1"/>
    <col min="2" max="2" width="13.75" style="42" customWidth="1"/>
    <col min="3" max="3" width="14" style="42" customWidth="1"/>
    <col min="4" max="4" width="32.375" style="42" customWidth="1"/>
    <col min="5" max="5" width="23.125" style="42" customWidth="1"/>
    <col min="6" max="6" width="55" style="42" customWidth="1"/>
    <col min="7" max="7" width="35.625" style="42" customWidth="1"/>
    <col min="8" max="8" width="12.5" style="42" customWidth="1"/>
    <col min="9" max="9" width="12" style="42" customWidth="1"/>
    <col min="10" max="16384" width="9" style="42" hidden="1" customWidth="1"/>
  </cols>
  <sheetData>
    <row r="1" s="20" customFormat="1" ht="30" customHeight="1" spans="1:9">
      <c r="A1" s="43" t="s">
        <v>42</v>
      </c>
      <c r="B1" s="43" t="s">
        <v>414</v>
      </c>
      <c r="C1" s="43" t="s">
        <v>66</v>
      </c>
      <c r="D1" s="43" t="s">
        <v>415</v>
      </c>
      <c r="E1" s="43"/>
      <c r="F1" s="43"/>
      <c r="G1" s="43"/>
      <c r="H1" s="43" t="s">
        <v>416</v>
      </c>
      <c r="I1" s="43" t="s">
        <v>417</v>
      </c>
    </row>
    <row r="2" s="20" customFormat="1" ht="30" customHeight="1" spans="1:9">
      <c r="A2" s="43"/>
      <c r="B2" s="43"/>
      <c r="C2" s="43"/>
      <c r="D2" s="43" t="s">
        <v>418</v>
      </c>
      <c r="E2" s="43" t="s">
        <v>419</v>
      </c>
      <c r="F2" s="43" t="s">
        <v>420</v>
      </c>
      <c r="G2" s="43" t="s">
        <v>421</v>
      </c>
      <c r="H2" s="43"/>
      <c r="I2" s="43"/>
    </row>
    <row r="3" s="20" customFormat="1" ht="32" customHeight="1" spans="1:9">
      <c r="A3" s="22">
        <v>45539</v>
      </c>
      <c r="B3" s="23" t="s">
        <v>422</v>
      </c>
      <c r="C3" s="41">
        <v>13923808320</v>
      </c>
      <c r="D3" s="41" t="s">
        <v>423</v>
      </c>
      <c r="E3" s="41" t="s">
        <v>424</v>
      </c>
      <c r="F3" s="44" t="s">
        <v>425</v>
      </c>
      <c r="G3" s="44" t="s">
        <v>426</v>
      </c>
      <c r="H3" s="23">
        <v>1500</v>
      </c>
      <c r="I3" s="23" t="s">
        <v>427</v>
      </c>
    </row>
    <row r="4" s="20" customFormat="1" ht="29" customHeight="1" spans="1:9">
      <c r="A4" s="22">
        <v>45539</v>
      </c>
      <c r="B4" s="23" t="s">
        <v>422</v>
      </c>
      <c r="C4" s="41">
        <v>13923808320</v>
      </c>
      <c r="D4" s="41" t="s">
        <v>423</v>
      </c>
      <c r="E4" s="41" t="s">
        <v>424</v>
      </c>
      <c r="F4" s="44" t="s">
        <v>425</v>
      </c>
      <c r="G4" s="44" t="s">
        <v>426</v>
      </c>
      <c r="H4" s="23">
        <v>1800</v>
      </c>
      <c r="I4" s="23" t="s">
        <v>427</v>
      </c>
    </row>
    <row r="5" s="20" customFormat="1" ht="32" customHeight="1" spans="1:9">
      <c r="A5" s="22">
        <v>45539</v>
      </c>
      <c r="B5" s="41" t="s">
        <v>428</v>
      </c>
      <c r="C5" s="41">
        <v>13986684439</v>
      </c>
      <c r="D5" s="41" t="s">
        <v>429</v>
      </c>
      <c r="E5" s="41" t="s">
        <v>430</v>
      </c>
      <c r="F5" s="44" t="s">
        <v>431</v>
      </c>
      <c r="G5" s="44" t="s">
        <v>432</v>
      </c>
      <c r="H5" s="23">
        <v>2000</v>
      </c>
      <c r="I5" s="23" t="s">
        <v>427</v>
      </c>
    </row>
    <row r="6" s="20" customFormat="1" ht="39" customHeight="1" spans="1:9">
      <c r="A6" s="22">
        <v>45546</v>
      </c>
      <c r="B6" s="23" t="s">
        <v>433</v>
      </c>
      <c r="C6" s="23">
        <v>13429870309</v>
      </c>
      <c r="D6" s="25" t="s">
        <v>434</v>
      </c>
      <c r="E6" s="25" t="s">
        <v>435</v>
      </c>
      <c r="F6" s="23" t="s">
        <v>436</v>
      </c>
      <c r="G6" s="25" t="s">
        <v>437</v>
      </c>
      <c r="H6" s="23">
        <v>3000</v>
      </c>
      <c r="I6" s="20" t="s">
        <v>427</v>
      </c>
    </row>
    <row r="7" s="20" customFormat="1" ht="43" customHeight="1" spans="1:9">
      <c r="A7" s="22">
        <v>45553</v>
      </c>
      <c r="B7" s="23" t="s">
        <v>428</v>
      </c>
      <c r="C7" s="23">
        <v>13986684439</v>
      </c>
      <c r="D7" s="23" t="s">
        <v>429</v>
      </c>
      <c r="E7" s="23" t="s">
        <v>430</v>
      </c>
      <c r="F7" s="25" t="s">
        <v>431</v>
      </c>
      <c r="G7" s="25" t="s">
        <v>438</v>
      </c>
      <c r="H7" s="23">
        <v>1200</v>
      </c>
      <c r="I7" s="23" t="s">
        <v>427</v>
      </c>
    </row>
    <row r="8" s="20" customFormat="1" ht="30" customHeight="1" spans="1:9">
      <c r="A8" s="22">
        <v>45553</v>
      </c>
      <c r="B8" s="26" t="s">
        <v>439</v>
      </c>
      <c r="C8" s="26">
        <v>13871486083</v>
      </c>
      <c r="D8" s="23" t="s">
        <v>440</v>
      </c>
      <c r="E8" s="23" t="s">
        <v>441</v>
      </c>
      <c r="F8" s="25" t="s">
        <v>442</v>
      </c>
      <c r="G8" s="25" t="s">
        <v>443</v>
      </c>
      <c r="H8" s="23">
        <v>1500</v>
      </c>
      <c r="I8" s="20" t="s">
        <v>427</v>
      </c>
    </row>
    <row r="9" s="20" customFormat="1" ht="33" customHeight="1" spans="1:9">
      <c r="A9" s="22">
        <v>45554</v>
      </c>
      <c r="B9" s="23" t="s">
        <v>444</v>
      </c>
      <c r="C9" s="23">
        <v>18601945242</v>
      </c>
      <c r="D9" s="23" t="s">
        <v>429</v>
      </c>
      <c r="E9" s="23" t="s">
        <v>430</v>
      </c>
      <c r="F9" s="25" t="s">
        <v>445</v>
      </c>
      <c r="G9" s="25" t="s">
        <v>446</v>
      </c>
      <c r="H9" s="23">
        <v>2400</v>
      </c>
      <c r="I9" s="23" t="s">
        <v>427</v>
      </c>
    </row>
    <row r="10" s="20" customFormat="1" ht="27" customHeight="1" spans="1:9">
      <c r="A10" s="22">
        <v>45554</v>
      </c>
      <c r="B10" s="20" t="s">
        <v>447</v>
      </c>
      <c r="C10" s="23">
        <v>18462102737</v>
      </c>
      <c r="D10" s="23" t="s">
        <v>448</v>
      </c>
      <c r="E10" s="23" t="s">
        <v>449</v>
      </c>
      <c r="F10" s="23" t="s">
        <v>450</v>
      </c>
      <c r="G10" s="25" t="s">
        <v>451</v>
      </c>
      <c r="H10" s="23">
        <v>4599</v>
      </c>
      <c r="I10" s="20" t="s">
        <v>427</v>
      </c>
    </row>
    <row r="11" s="20" customFormat="1" ht="30" customHeight="1" spans="1:9">
      <c r="A11" s="22">
        <v>45556</v>
      </c>
      <c r="B11" s="23" t="s">
        <v>452</v>
      </c>
      <c r="C11" s="23">
        <v>13986275913</v>
      </c>
      <c r="D11" s="23" t="s">
        <v>453</v>
      </c>
      <c r="E11" s="23" t="s">
        <v>454</v>
      </c>
      <c r="F11" s="23" t="s">
        <v>455</v>
      </c>
      <c r="G11" s="25" t="s">
        <v>456</v>
      </c>
      <c r="H11" s="23">
        <v>1000</v>
      </c>
      <c r="I11" s="23" t="s">
        <v>427</v>
      </c>
    </row>
    <row r="12" s="20" customFormat="1" ht="53" customHeight="1" spans="1:9">
      <c r="A12" s="22">
        <v>45577</v>
      </c>
      <c r="B12" s="23" t="s">
        <v>457</v>
      </c>
      <c r="C12" s="23">
        <v>15527172405</v>
      </c>
      <c r="D12" s="23" t="s">
        <v>458</v>
      </c>
      <c r="E12" s="23" t="s">
        <v>459</v>
      </c>
      <c r="F12" s="23" t="s">
        <v>460</v>
      </c>
      <c r="G12" s="25" t="s">
        <v>461</v>
      </c>
      <c r="H12" s="23">
        <v>2000</v>
      </c>
      <c r="I12" s="23" t="s">
        <v>427</v>
      </c>
    </row>
    <row r="13" s="20" customFormat="1" ht="40" customHeight="1" spans="1:9">
      <c r="A13" s="22">
        <v>45590</v>
      </c>
      <c r="B13" s="23" t="s">
        <v>428</v>
      </c>
      <c r="C13" s="23">
        <v>13986684439</v>
      </c>
      <c r="D13" s="23" t="s">
        <v>429</v>
      </c>
      <c r="E13" s="23" t="s">
        <v>430</v>
      </c>
      <c r="F13" s="25" t="s">
        <v>445</v>
      </c>
      <c r="G13" s="25" t="s">
        <v>446</v>
      </c>
      <c r="H13" s="23">
        <v>1200</v>
      </c>
      <c r="I13" s="23" t="s">
        <v>427</v>
      </c>
    </row>
    <row r="14" s="20" customFormat="1" ht="31" customHeight="1" spans="1:9">
      <c r="A14" s="22">
        <v>45590</v>
      </c>
      <c r="B14" s="23" t="s">
        <v>462</v>
      </c>
      <c r="C14" s="23">
        <v>15970272771</v>
      </c>
      <c r="D14" s="23" t="s">
        <v>429</v>
      </c>
      <c r="E14" s="23" t="s">
        <v>430</v>
      </c>
      <c r="F14" s="25" t="s">
        <v>445</v>
      </c>
      <c r="G14" s="25" t="s">
        <v>446</v>
      </c>
      <c r="H14" s="23">
        <v>260</v>
      </c>
      <c r="I14" s="23" t="s">
        <v>427</v>
      </c>
    </row>
    <row r="15" s="20" customFormat="1" ht="27" customHeight="1" spans="1:9">
      <c r="A15" s="22">
        <v>45593</v>
      </c>
      <c r="B15" s="23" t="s">
        <v>463</v>
      </c>
      <c r="C15" s="23">
        <v>18007176848</v>
      </c>
      <c r="D15" s="23" t="s">
        <v>464</v>
      </c>
      <c r="E15" s="23" t="s">
        <v>465</v>
      </c>
      <c r="F15" s="25" t="s">
        <v>466</v>
      </c>
      <c r="G15" s="25" t="s">
        <v>467</v>
      </c>
      <c r="H15" s="23">
        <v>1699</v>
      </c>
      <c r="I15" s="23" t="s">
        <v>427</v>
      </c>
    </row>
    <row r="16" s="20" customFormat="1" ht="30" customHeight="1" spans="1:9">
      <c r="A16" s="22">
        <v>45594</v>
      </c>
      <c r="B16" s="23" t="s">
        <v>468</v>
      </c>
      <c r="C16" s="23">
        <v>18773790598</v>
      </c>
      <c r="D16" s="23" t="s">
        <v>469</v>
      </c>
      <c r="E16" s="23" t="s">
        <v>470</v>
      </c>
      <c r="F16" s="23"/>
      <c r="G16" s="23"/>
      <c r="H16" s="23">
        <v>200</v>
      </c>
      <c r="I16" s="23" t="s">
        <v>427</v>
      </c>
    </row>
    <row r="17" s="20" customFormat="1" ht="31" customHeight="1" spans="1:9">
      <c r="A17" s="22">
        <v>45597</v>
      </c>
      <c r="B17" s="23" t="s">
        <v>428</v>
      </c>
      <c r="C17" s="23">
        <v>13986684439</v>
      </c>
      <c r="D17" s="23" t="s">
        <v>429</v>
      </c>
      <c r="E17" s="23" t="s">
        <v>430</v>
      </c>
      <c r="F17" s="25" t="s">
        <v>471</v>
      </c>
      <c r="G17" s="25" t="s">
        <v>472</v>
      </c>
      <c r="H17" s="23">
        <v>3000</v>
      </c>
      <c r="I17" s="23" t="s">
        <v>427</v>
      </c>
    </row>
    <row r="18" s="20" customFormat="1" ht="36" customHeight="1" spans="1:9">
      <c r="A18" s="22">
        <v>45601</v>
      </c>
      <c r="B18" s="23" t="s">
        <v>473</v>
      </c>
      <c r="C18" s="23">
        <v>13554308155</v>
      </c>
      <c r="D18" s="23" t="s">
        <v>429</v>
      </c>
      <c r="E18" s="23" t="s">
        <v>430</v>
      </c>
      <c r="F18" s="25" t="s">
        <v>474</v>
      </c>
      <c r="G18" s="25" t="s">
        <v>438</v>
      </c>
      <c r="H18" s="23">
        <v>2250</v>
      </c>
      <c r="I18" s="23" t="s">
        <v>427</v>
      </c>
    </row>
    <row r="19" s="20" customFormat="1" ht="32" customHeight="1" spans="1:9">
      <c r="A19" s="22">
        <v>45610</v>
      </c>
      <c r="B19" s="23" t="s">
        <v>475</v>
      </c>
      <c r="C19" s="23">
        <v>18271944820</v>
      </c>
      <c r="D19" s="23" t="s">
        <v>476</v>
      </c>
      <c r="E19" s="23" t="s">
        <v>477</v>
      </c>
      <c r="F19" s="25" t="s">
        <v>478</v>
      </c>
      <c r="G19" s="25" t="s">
        <v>479</v>
      </c>
      <c r="H19" s="23">
        <v>1111</v>
      </c>
      <c r="I19" s="23" t="s">
        <v>427</v>
      </c>
    </row>
    <row r="20" s="20" customFormat="1" ht="25" customHeight="1" spans="1:9">
      <c r="A20" s="22">
        <v>45622</v>
      </c>
      <c r="B20" s="23" t="s">
        <v>422</v>
      </c>
      <c r="C20" s="41">
        <v>13923808320</v>
      </c>
      <c r="D20" s="23" t="s">
        <v>423</v>
      </c>
      <c r="E20" s="41" t="s">
        <v>424</v>
      </c>
      <c r="F20" s="44" t="s">
        <v>425</v>
      </c>
      <c r="G20" s="44" t="s">
        <v>426</v>
      </c>
      <c r="H20" s="23">
        <v>3600</v>
      </c>
      <c r="I20" s="23" t="s">
        <v>427</v>
      </c>
    </row>
    <row r="21" s="20" customFormat="1" ht="24" customHeight="1" spans="1:9">
      <c r="A21" s="22">
        <v>45622</v>
      </c>
      <c r="B21" s="23" t="s">
        <v>422</v>
      </c>
      <c r="C21" s="41">
        <v>13923808320</v>
      </c>
      <c r="D21" s="23" t="s">
        <v>423</v>
      </c>
      <c r="E21" s="41" t="s">
        <v>424</v>
      </c>
      <c r="F21" s="44" t="s">
        <v>425</v>
      </c>
      <c r="G21" s="44" t="s">
        <v>426</v>
      </c>
      <c r="H21" s="23">
        <v>3400</v>
      </c>
      <c r="I21" s="23" t="s">
        <v>427</v>
      </c>
    </row>
    <row r="22" s="20" customFormat="1" ht="27" customHeight="1" spans="1:9">
      <c r="A22" s="22">
        <v>45626</v>
      </c>
      <c r="B22" s="23" t="s">
        <v>480</v>
      </c>
      <c r="C22" s="23">
        <v>13545090900</v>
      </c>
      <c r="D22" s="23"/>
      <c r="E22" s="23"/>
      <c r="F22" s="23"/>
      <c r="G22" s="23"/>
      <c r="H22" s="23">
        <v>1500</v>
      </c>
      <c r="I22" s="23" t="s">
        <v>427</v>
      </c>
    </row>
    <row r="23" s="20" customFormat="1" ht="46" customHeight="1" spans="1:9">
      <c r="A23" s="22">
        <v>45627</v>
      </c>
      <c r="B23" s="23" t="s">
        <v>481</v>
      </c>
      <c r="C23" s="23">
        <v>13007102777</v>
      </c>
      <c r="D23" s="23" t="s">
        <v>482</v>
      </c>
      <c r="E23" s="23" t="s">
        <v>483</v>
      </c>
      <c r="F23" s="23"/>
      <c r="G23" s="25" t="s">
        <v>484</v>
      </c>
      <c r="H23" s="23">
        <v>1111</v>
      </c>
      <c r="I23" s="23" t="s">
        <v>427</v>
      </c>
    </row>
    <row r="24" s="20" customFormat="1" ht="38" customHeight="1" spans="1:9">
      <c r="A24" s="22">
        <v>45628</v>
      </c>
      <c r="B24" s="23" t="s">
        <v>485</v>
      </c>
      <c r="C24" s="23">
        <v>18530021868</v>
      </c>
      <c r="D24" s="23"/>
      <c r="E24" s="23"/>
      <c r="F24" s="23"/>
      <c r="G24" s="23"/>
      <c r="H24" s="23">
        <v>2650</v>
      </c>
      <c r="I24" s="23" t="s">
        <v>427</v>
      </c>
    </row>
    <row r="25" s="20" customFormat="1" ht="47" customHeight="1" spans="1:9">
      <c r="A25" s="22">
        <v>45631</v>
      </c>
      <c r="B25" s="23" t="s">
        <v>486</v>
      </c>
      <c r="C25" s="23">
        <v>13971547428</v>
      </c>
      <c r="D25" s="23"/>
      <c r="E25" s="23"/>
      <c r="F25" s="23"/>
      <c r="G25" s="25"/>
      <c r="H25" s="23">
        <v>3580</v>
      </c>
      <c r="I25" s="23" t="s">
        <v>427</v>
      </c>
    </row>
    <row r="26" s="20" customFormat="1" ht="33" customHeight="1" spans="1:9">
      <c r="A26" s="22">
        <v>45649</v>
      </c>
      <c r="B26" s="45" t="s">
        <v>487</v>
      </c>
      <c r="C26" s="45">
        <v>18672329706</v>
      </c>
      <c r="D26" s="23" t="s">
        <v>488</v>
      </c>
      <c r="E26" s="45"/>
      <c r="F26" s="45" t="s">
        <v>489</v>
      </c>
      <c r="G26" s="45"/>
      <c r="H26" s="45">
        <v>3000</v>
      </c>
      <c r="I26" s="23" t="s">
        <v>427</v>
      </c>
    </row>
    <row r="27" s="20" customFormat="1" ht="20" customHeight="1" spans="1:9">
      <c r="A27" s="22">
        <v>45651</v>
      </c>
      <c r="B27" s="23" t="s">
        <v>490</v>
      </c>
      <c r="C27" s="23">
        <v>18963970563</v>
      </c>
      <c r="D27" s="23" t="s">
        <v>491</v>
      </c>
      <c r="E27" s="23" t="s">
        <v>492</v>
      </c>
      <c r="F27" s="23"/>
      <c r="G27" s="23"/>
      <c r="H27" s="23">
        <v>1500</v>
      </c>
      <c r="I27" s="23" t="s">
        <v>427</v>
      </c>
    </row>
    <row r="28" s="20" customFormat="1" ht="20" customHeight="1" spans="1:9">
      <c r="A28" s="22">
        <v>45651</v>
      </c>
      <c r="B28" s="23" t="s">
        <v>493</v>
      </c>
      <c r="C28" s="23">
        <v>18772819313</v>
      </c>
      <c r="D28" s="23" t="s">
        <v>491</v>
      </c>
      <c r="E28" s="23" t="s">
        <v>492</v>
      </c>
      <c r="F28" s="23"/>
      <c r="G28" s="23"/>
      <c r="H28" s="23">
        <v>1611</v>
      </c>
      <c r="I28" s="23" t="s">
        <v>427</v>
      </c>
    </row>
    <row r="29" s="20" customFormat="1" ht="20" customHeight="1" spans="1:9">
      <c r="A29" s="22">
        <v>45651</v>
      </c>
      <c r="B29" s="23" t="s">
        <v>494</v>
      </c>
      <c r="C29" s="23">
        <v>18971529929</v>
      </c>
      <c r="D29" s="23" t="s">
        <v>491</v>
      </c>
      <c r="E29" s="23" t="s">
        <v>492</v>
      </c>
      <c r="F29" s="23"/>
      <c r="G29" s="23"/>
      <c r="H29" s="23">
        <v>1611</v>
      </c>
      <c r="I29" s="23" t="s">
        <v>427</v>
      </c>
    </row>
    <row r="30" s="20" customFormat="1" ht="20" customHeight="1" spans="1:9">
      <c r="A30" s="22">
        <v>45656</v>
      </c>
      <c r="B30" s="23" t="s">
        <v>495</v>
      </c>
      <c r="C30" s="23">
        <v>13675691174</v>
      </c>
      <c r="D30" s="23" t="s">
        <v>491</v>
      </c>
      <c r="E30" s="23" t="s">
        <v>492</v>
      </c>
      <c r="F30" s="23"/>
      <c r="G30" s="23"/>
      <c r="H30" s="23">
        <v>1611</v>
      </c>
      <c r="I30" s="23" t="s">
        <v>427</v>
      </c>
    </row>
    <row r="31" s="20" customFormat="1" ht="28" customHeight="1" spans="1:9">
      <c r="A31" s="22">
        <v>45663</v>
      </c>
      <c r="B31" s="23" t="s">
        <v>457</v>
      </c>
      <c r="C31" s="23">
        <v>15527172405</v>
      </c>
      <c r="D31" s="23" t="s">
        <v>458</v>
      </c>
      <c r="E31" s="23" t="s">
        <v>459</v>
      </c>
      <c r="F31" s="25" t="s">
        <v>496</v>
      </c>
      <c r="G31" s="25" t="s">
        <v>497</v>
      </c>
      <c r="H31" s="23">
        <v>2000</v>
      </c>
      <c r="I31" s="23" t="s">
        <v>427</v>
      </c>
    </row>
    <row r="32" s="20" customFormat="1" ht="20" customHeight="1" spans="1:9">
      <c r="A32" s="22">
        <v>45670</v>
      </c>
      <c r="B32" s="26" t="s">
        <v>498</v>
      </c>
      <c r="C32" s="26">
        <v>15527354576</v>
      </c>
      <c r="D32" s="23" t="s">
        <v>429</v>
      </c>
      <c r="E32" s="23" t="s">
        <v>430</v>
      </c>
      <c r="F32" s="25" t="s">
        <v>474</v>
      </c>
      <c r="G32" s="25" t="s">
        <v>438</v>
      </c>
      <c r="H32" s="23">
        <v>2250</v>
      </c>
      <c r="I32" s="23" t="s">
        <v>427</v>
      </c>
    </row>
    <row r="33" s="20" customFormat="1" ht="20" customHeight="1" spans="1:9">
      <c r="A33" s="22">
        <v>45697</v>
      </c>
      <c r="B33" s="23" t="s">
        <v>499</v>
      </c>
      <c r="C33" s="23">
        <v>13080618621</v>
      </c>
      <c r="D33" s="23" t="s">
        <v>500</v>
      </c>
      <c r="E33" s="144" t="s">
        <v>501</v>
      </c>
      <c r="F33" s="25" t="s">
        <v>502</v>
      </c>
      <c r="G33" s="25" t="s">
        <v>503</v>
      </c>
      <c r="H33" s="23">
        <v>1299</v>
      </c>
      <c r="I33" s="23" t="s">
        <v>427</v>
      </c>
    </row>
    <row r="34" s="20" customFormat="1" ht="28" customHeight="1" spans="1:9">
      <c r="A34" s="22">
        <v>45706</v>
      </c>
      <c r="B34" s="23" t="s">
        <v>504</v>
      </c>
      <c r="C34" s="23">
        <v>18707150628</v>
      </c>
      <c r="D34" s="23" t="s">
        <v>505</v>
      </c>
      <c r="E34" s="144" t="s">
        <v>506</v>
      </c>
      <c r="F34" s="25" t="s">
        <v>507</v>
      </c>
      <c r="G34" s="25" t="s">
        <v>508</v>
      </c>
      <c r="H34" s="23">
        <v>1499</v>
      </c>
      <c r="I34" s="23" t="s">
        <v>427</v>
      </c>
    </row>
    <row r="35" s="20" customFormat="1" ht="28" customHeight="1" spans="1:9">
      <c r="A35" s="22">
        <v>45708</v>
      </c>
      <c r="B35" s="23" t="s">
        <v>504</v>
      </c>
      <c r="C35" s="23">
        <v>18707150628</v>
      </c>
      <c r="D35" s="23" t="s">
        <v>505</v>
      </c>
      <c r="E35" s="144" t="s">
        <v>506</v>
      </c>
      <c r="F35" s="25" t="s">
        <v>507</v>
      </c>
      <c r="G35" s="25" t="s">
        <v>508</v>
      </c>
      <c r="H35" s="23">
        <v>5400</v>
      </c>
      <c r="I35" s="23" t="s">
        <v>427</v>
      </c>
    </row>
    <row r="36" s="20" customFormat="1" ht="44" customHeight="1" spans="1:9">
      <c r="A36" s="22">
        <v>45713</v>
      </c>
      <c r="B36" s="23" t="s">
        <v>509</v>
      </c>
      <c r="C36" s="23">
        <v>18627107660</v>
      </c>
      <c r="D36" s="23" t="s">
        <v>510</v>
      </c>
      <c r="E36" s="23" t="s">
        <v>511</v>
      </c>
      <c r="F36" s="25" t="s">
        <v>512</v>
      </c>
      <c r="G36" s="25" t="s">
        <v>513</v>
      </c>
      <c r="H36" s="23">
        <v>499</v>
      </c>
      <c r="I36" s="23" t="s">
        <v>427</v>
      </c>
    </row>
    <row r="37" s="20" customFormat="1" ht="27" customHeight="1" spans="1:9">
      <c r="A37" s="22">
        <v>45714</v>
      </c>
      <c r="B37" s="26" t="s">
        <v>509</v>
      </c>
      <c r="C37" s="26">
        <v>18627107660</v>
      </c>
      <c r="D37" s="23" t="s">
        <v>510</v>
      </c>
      <c r="E37" s="23" t="s">
        <v>511</v>
      </c>
      <c r="F37" s="25" t="s">
        <v>512</v>
      </c>
      <c r="G37" s="25" t="s">
        <v>513</v>
      </c>
      <c r="H37" s="23">
        <v>1320</v>
      </c>
      <c r="I37" s="23" t="s">
        <v>427</v>
      </c>
    </row>
    <row r="38" s="20" customFormat="1" ht="20" customHeight="1" spans="1:9">
      <c r="A38" s="22">
        <v>45715</v>
      </c>
      <c r="B38" s="26" t="s">
        <v>428</v>
      </c>
      <c r="C38" s="26">
        <v>13986684439</v>
      </c>
      <c r="D38" s="23" t="s">
        <v>429</v>
      </c>
      <c r="E38" s="23" t="s">
        <v>430</v>
      </c>
      <c r="F38" s="25" t="s">
        <v>474</v>
      </c>
      <c r="G38" s="25" t="s">
        <v>438</v>
      </c>
      <c r="H38" s="23">
        <v>1200</v>
      </c>
      <c r="I38" s="23" t="s">
        <v>427</v>
      </c>
    </row>
    <row r="39" s="20" customFormat="1" ht="27" customHeight="1" spans="1:9">
      <c r="A39" s="22">
        <v>45716</v>
      </c>
      <c r="B39" s="23" t="s">
        <v>514</v>
      </c>
      <c r="C39" s="23">
        <v>13476190674</v>
      </c>
      <c r="D39" s="25" t="s">
        <v>515</v>
      </c>
      <c r="E39" s="23" t="s">
        <v>516</v>
      </c>
      <c r="F39" s="25" t="s">
        <v>517</v>
      </c>
      <c r="G39" s="25" t="s">
        <v>518</v>
      </c>
      <c r="H39" s="23">
        <v>119</v>
      </c>
      <c r="I39" s="23" t="s">
        <v>427</v>
      </c>
    </row>
    <row r="40" s="20" customFormat="1" ht="20" customHeight="1" spans="1:9">
      <c r="A40" s="22">
        <v>45716</v>
      </c>
      <c r="B40" s="23" t="s">
        <v>519</v>
      </c>
      <c r="C40" s="23">
        <v>15007109316</v>
      </c>
      <c r="D40" s="23" t="s">
        <v>520</v>
      </c>
      <c r="E40" s="23" t="s">
        <v>521</v>
      </c>
      <c r="F40" s="23" t="s">
        <v>522</v>
      </c>
      <c r="G40" s="23"/>
      <c r="H40" s="23">
        <v>1099</v>
      </c>
      <c r="I40" s="23" t="s">
        <v>427</v>
      </c>
    </row>
    <row r="41" s="20" customFormat="1" ht="20" customHeight="1" spans="1:9">
      <c r="A41" s="22">
        <v>45719</v>
      </c>
      <c r="B41" s="23" t="s">
        <v>509</v>
      </c>
      <c r="C41" s="23">
        <v>18627107660</v>
      </c>
      <c r="D41" s="23" t="s">
        <v>510</v>
      </c>
      <c r="E41" s="23" t="s">
        <v>511</v>
      </c>
      <c r="F41" s="25" t="s">
        <v>512</v>
      </c>
      <c r="G41" s="25" t="s">
        <v>513</v>
      </c>
      <c r="H41" s="23">
        <v>1320</v>
      </c>
      <c r="I41" s="23" t="s">
        <v>427</v>
      </c>
    </row>
    <row r="42" s="20" customFormat="1" ht="20" customHeight="1" spans="1:9">
      <c r="A42" s="22">
        <v>45720</v>
      </c>
      <c r="B42" s="28" t="s">
        <v>523</v>
      </c>
      <c r="C42" s="28">
        <v>18162698412</v>
      </c>
      <c r="D42" s="23" t="s">
        <v>429</v>
      </c>
      <c r="E42" s="23" t="s">
        <v>430</v>
      </c>
      <c r="F42" s="25" t="s">
        <v>474</v>
      </c>
      <c r="G42" s="25" t="s">
        <v>438</v>
      </c>
      <c r="H42" s="23">
        <v>2100</v>
      </c>
      <c r="I42" s="23" t="s">
        <v>427</v>
      </c>
    </row>
    <row r="43" s="20" customFormat="1" ht="20" customHeight="1" spans="1:9">
      <c r="A43" s="22">
        <v>45722</v>
      </c>
      <c r="B43" s="23" t="s">
        <v>428</v>
      </c>
      <c r="C43" s="23">
        <v>13986684439</v>
      </c>
      <c r="D43" s="23" t="s">
        <v>429</v>
      </c>
      <c r="E43" s="23" t="s">
        <v>430</v>
      </c>
      <c r="F43" s="25" t="s">
        <v>524</v>
      </c>
      <c r="G43" s="23" t="s">
        <v>525</v>
      </c>
      <c r="H43" s="23">
        <v>5000</v>
      </c>
      <c r="I43" s="23" t="s">
        <v>427</v>
      </c>
    </row>
    <row r="44" s="20" customFormat="1" ht="20" customHeight="1" spans="1:9">
      <c r="A44" s="22">
        <v>45729</v>
      </c>
      <c r="B44" s="23" t="s">
        <v>509</v>
      </c>
      <c r="C44" s="23">
        <v>18627107660</v>
      </c>
      <c r="D44" s="23" t="s">
        <v>526</v>
      </c>
      <c r="E44" s="23" t="s">
        <v>527</v>
      </c>
      <c r="F44" s="25" t="s">
        <v>528</v>
      </c>
      <c r="G44" s="25" t="s">
        <v>529</v>
      </c>
      <c r="H44" s="23">
        <v>1920</v>
      </c>
      <c r="I44" s="23" t="s">
        <v>427</v>
      </c>
    </row>
    <row r="45" s="20" customFormat="1" ht="20" customHeight="1" spans="1:9">
      <c r="A45" s="22">
        <v>45733</v>
      </c>
      <c r="B45" s="26" t="s">
        <v>530</v>
      </c>
      <c r="C45" s="26">
        <v>17784152396</v>
      </c>
      <c r="D45" s="23" t="s">
        <v>531</v>
      </c>
      <c r="E45" s="23" t="s">
        <v>532</v>
      </c>
      <c r="F45" s="25" t="s">
        <v>533</v>
      </c>
      <c r="G45" s="25" t="s">
        <v>534</v>
      </c>
      <c r="H45" s="23">
        <v>1000</v>
      </c>
      <c r="I45" s="23" t="s">
        <v>427</v>
      </c>
    </row>
    <row r="46" s="20" customFormat="1" ht="20" customHeight="1" spans="1:9">
      <c r="A46" s="22">
        <v>45733</v>
      </c>
      <c r="B46" s="26" t="s">
        <v>535</v>
      </c>
      <c r="C46" s="26">
        <v>13082521500</v>
      </c>
      <c r="D46" s="23" t="s">
        <v>531</v>
      </c>
      <c r="E46" s="23" t="s">
        <v>532</v>
      </c>
      <c r="F46" s="25" t="s">
        <v>533</v>
      </c>
      <c r="G46" s="25" t="s">
        <v>534</v>
      </c>
      <c r="H46" s="23">
        <v>1000</v>
      </c>
      <c r="I46" s="23" t="s">
        <v>427</v>
      </c>
    </row>
    <row r="47" s="20" customFormat="1" ht="20" customHeight="1" spans="1:9">
      <c r="A47" s="22">
        <v>45733</v>
      </c>
      <c r="B47" s="23" t="s">
        <v>536</v>
      </c>
      <c r="C47" s="23">
        <v>18571684464</v>
      </c>
      <c r="D47" s="23"/>
      <c r="E47" s="23"/>
      <c r="F47" s="23"/>
      <c r="G47" s="23"/>
      <c r="H47" s="23">
        <v>800</v>
      </c>
      <c r="I47" s="23" t="s">
        <v>427</v>
      </c>
    </row>
    <row r="48" s="20" customFormat="1" ht="20" customHeight="1" spans="1:9">
      <c r="A48" s="22">
        <v>45735</v>
      </c>
      <c r="B48" s="23" t="s">
        <v>537</v>
      </c>
      <c r="C48" s="23">
        <v>13387633167</v>
      </c>
      <c r="D48" s="23" t="s">
        <v>469</v>
      </c>
      <c r="E48" s="23" t="s">
        <v>470</v>
      </c>
      <c r="F48" s="23"/>
      <c r="G48" s="23"/>
      <c r="H48" s="23">
        <v>250</v>
      </c>
      <c r="I48" s="23" t="s">
        <v>427</v>
      </c>
    </row>
    <row r="49" s="20" customFormat="1" ht="20" customHeight="1" spans="1:9">
      <c r="A49" s="22">
        <v>45737</v>
      </c>
      <c r="B49" s="23" t="s">
        <v>538</v>
      </c>
      <c r="C49" s="23">
        <v>18727136761</v>
      </c>
      <c r="D49" s="23"/>
      <c r="E49" s="23"/>
      <c r="F49" s="25"/>
      <c r="G49" s="25"/>
      <c r="H49" s="23">
        <v>4038</v>
      </c>
      <c r="I49" s="23" t="s">
        <v>427</v>
      </c>
    </row>
    <row r="50" s="20" customFormat="1" ht="20" customHeight="1" spans="1:9">
      <c r="A50" s="22">
        <v>45744</v>
      </c>
      <c r="B50" s="23" t="s">
        <v>539</v>
      </c>
      <c r="C50" s="23">
        <v>13294156129</v>
      </c>
      <c r="D50" s="25" t="s">
        <v>540</v>
      </c>
      <c r="E50" s="144" t="s">
        <v>541</v>
      </c>
      <c r="F50" s="25"/>
      <c r="G50" s="25"/>
      <c r="H50" s="23">
        <v>1800</v>
      </c>
      <c r="I50" s="23" t="s">
        <v>427</v>
      </c>
    </row>
    <row r="51" s="20" customFormat="1" ht="20" customHeight="1" spans="1:9">
      <c r="A51" s="22">
        <v>45746</v>
      </c>
      <c r="B51" s="23" t="s">
        <v>542</v>
      </c>
      <c r="C51" s="23">
        <v>15387055588</v>
      </c>
      <c r="D51" s="23" t="s">
        <v>543</v>
      </c>
      <c r="E51" s="23" t="s">
        <v>544</v>
      </c>
      <c r="F51" s="25" t="s">
        <v>545</v>
      </c>
      <c r="G51" s="25" t="s">
        <v>546</v>
      </c>
      <c r="H51" s="23">
        <v>1500</v>
      </c>
      <c r="I51" s="23" t="s">
        <v>427</v>
      </c>
    </row>
    <row r="52" s="20" customFormat="1" ht="20" customHeight="1" spans="1:9">
      <c r="A52" s="22">
        <v>45746</v>
      </c>
      <c r="B52" s="23" t="s">
        <v>547</v>
      </c>
      <c r="C52" s="23">
        <v>15327319793</v>
      </c>
      <c r="D52" s="23" t="s">
        <v>543</v>
      </c>
      <c r="E52" s="23" t="s">
        <v>544</v>
      </c>
      <c r="F52" s="25" t="s">
        <v>545</v>
      </c>
      <c r="G52" s="25" t="s">
        <v>546</v>
      </c>
      <c r="H52" s="23">
        <v>1600</v>
      </c>
      <c r="I52" s="23" t="s">
        <v>427</v>
      </c>
    </row>
    <row r="53" s="20" customFormat="1" ht="20" customHeight="1" spans="1:9">
      <c r="A53" s="22">
        <v>45747</v>
      </c>
      <c r="B53" s="26" t="s">
        <v>548</v>
      </c>
      <c r="C53" s="26">
        <v>13907183605</v>
      </c>
      <c r="D53" s="23"/>
      <c r="E53" s="23"/>
      <c r="F53" s="23"/>
      <c r="G53" s="23"/>
      <c r="H53" s="23">
        <v>1000</v>
      </c>
      <c r="I53" s="23" t="s">
        <v>427</v>
      </c>
    </row>
    <row r="54" s="20" customFormat="1" ht="20" customHeight="1" spans="1:9">
      <c r="A54" s="22">
        <v>45756</v>
      </c>
      <c r="B54" s="26" t="s">
        <v>422</v>
      </c>
      <c r="C54" s="26">
        <v>13923808320</v>
      </c>
      <c r="D54" s="23" t="s">
        <v>423</v>
      </c>
      <c r="E54" s="23" t="s">
        <v>549</v>
      </c>
      <c r="F54" s="25" t="s">
        <v>550</v>
      </c>
      <c r="G54" s="25" t="s">
        <v>551</v>
      </c>
      <c r="H54" s="23">
        <v>1000</v>
      </c>
      <c r="I54" s="23" t="s">
        <v>427</v>
      </c>
    </row>
    <row r="55" s="20" customFormat="1" ht="20" customHeight="1" spans="1:9">
      <c r="A55" s="22">
        <v>45756</v>
      </c>
      <c r="B55" s="26" t="s">
        <v>422</v>
      </c>
      <c r="C55" s="26">
        <v>13923808320</v>
      </c>
      <c r="D55" s="23" t="s">
        <v>423</v>
      </c>
      <c r="E55" s="23" t="s">
        <v>549</v>
      </c>
      <c r="F55" s="25" t="s">
        <v>550</v>
      </c>
      <c r="G55" s="25" t="s">
        <v>551</v>
      </c>
      <c r="H55" s="23">
        <v>500</v>
      </c>
      <c r="I55" s="23" t="s">
        <v>427</v>
      </c>
    </row>
    <row r="56" s="20" customFormat="1" ht="20" customHeight="1" spans="1:9">
      <c r="A56" s="22">
        <v>45757</v>
      </c>
      <c r="B56" s="23" t="s">
        <v>457</v>
      </c>
      <c r="C56" s="23">
        <v>15527172405</v>
      </c>
      <c r="D56" s="23" t="s">
        <v>458</v>
      </c>
      <c r="E56" s="23" t="s">
        <v>459</v>
      </c>
      <c r="F56" s="25" t="s">
        <v>496</v>
      </c>
      <c r="G56" s="25" t="s">
        <v>497</v>
      </c>
      <c r="H56" s="23">
        <v>2000</v>
      </c>
      <c r="I56" s="23" t="s">
        <v>427</v>
      </c>
    </row>
    <row r="57" s="20" customFormat="1" ht="29" customHeight="1" spans="1:9">
      <c r="A57" s="22">
        <v>45757</v>
      </c>
      <c r="B57" s="29" t="s">
        <v>552</v>
      </c>
      <c r="C57" s="26">
        <v>15072357003</v>
      </c>
      <c r="D57" s="23" t="s">
        <v>553</v>
      </c>
      <c r="E57" s="144" t="s">
        <v>554</v>
      </c>
      <c r="F57" s="25" t="s">
        <v>555</v>
      </c>
      <c r="G57" s="25" t="s">
        <v>556</v>
      </c>
      <c r="H57" s="23">
        <v>1900</v>
      </c>
      <c r="I57" s="23" t="s">
        <v>427</v>
      </c>
    </row>
    <row r="58" s="20" customFormat="1" ht="28" customHeight="1" spans="1:9">
      <c r="A58" s="22">
        <v>45766</v>
      </c>
      <c r="B58" s="23" t="s">
        <v>428</v>
      </c>
      <c r="C58" s="23">
        <v>13986684439</v>
      </c>
      <c r="D58" s="23" t="s">
        <v>429</v>
      </c>
      <c r="E58" s="23" t="s">
        <v>430</v>
      </c>
      <c r="F58" s="25" t="s">
        <v>524</v>
      </c>
      <c r="G58" s="25" t="s">
        <v>446</v>
      </c>
      <c r="H58" s="23">
        <v>1200</v>
      </c>
      <c r="I58" s="23" t="s">
        <v>427</v>
      </c>
    </row>
    <row r="59" s="20" customFormat="1" ht="28" customHeight="1" spans="1:9">
      <c r="A59" s="22">
        <v>45777</v>
      </c>
      <c r="B59" s="23" t="s">
        <v>557</v>
      </c>
      <c r="C59" s="23">
        <v>15926202077</v>
      </c>
      <c r="D59" s="23" t="s">
        <v>558</v>
      </c>
      <c r="E59" s="23" t="s">
        <v>559</v>
      </c>
      <c r="F59" s="25"/>
      <c r="G59" s="25"/>
      <c r="H59" s="23">
        <v>2800</v>
      </c>
      <c r="I59" s="23"/>
    </row>
    <row r="60" s="20" customFormat="1" ht="20" customHeight="1" spans="1:9">
      <c r="A60" s="22">
        <v>45778</v>
      </c>
      <c r="B60" s="23" t="s">
        <v>560</v>
      </c>
      <c r="C60" s="23">
        <v>15527240331</v>
      </c>
      <c r="D60" s="23"/>
      <c r="E60" s="23"/>
      <c r="F60" s="23"/>
      <c r="G60" s="23"/>
      <c r="H60" s="23">
        <v>4800</v>
      </c>
      <c r="I60" s="23" t="s">
        <v>427</v>
      </c>
    </row>
    <row r="61" s="20" customFormat="1" ht="20" customHeight="1" spans="1:9">
      <c r="A61" s="22">
        <v>45783</v>
      </c>
      <c r="B61" s="26" t="s">
        <v>561</v>
      </c>
      <c r="C61" s="26">
        <v>15927002595</v>
      </c>
      <c r="D61" s="23" t="s">
        <v>562</v>
      </c>
      <c r="E61" s="23" t="s">
        <v>563</v>
      </c>
      <c r="F61" s="23" t="s">
        <v>564</v>
      </c>
      <c r="G61" s="25" t="s">
        <v>565</v>
      </c>
      <c r="H61" s="23">
        <v>15000</v>
      </c>
      <c r="I61" s="23" t="s">
        <v>427</v>
      </c>
    </row>
    <row r="62" s="20" customFormat="1" ht="51" customHeight="1" spans="1:9">
      <c r="A62" s="22">
        <v>45786</v>
      </c>
      <c r="B62" s="23" t="s">
        <v>566</v>
      </c>
      <c r="C62" s="23">
        <v>18770507582</v>
      </c>
      <c r="D62" s="23" t="s">
        <v>429</v>
      </c>
      <c r="E62" s="23" t="s">
        <v>430</v>
      </c>
      <c r="F62" s="25" t="s">
        <v>567</v>
      </c>
      <c r="G62" s="25" t="s">
        <v>525</v>
      </c>
      <c r="H62" s="23">
        <v>2713.4</v>
      </c>
      <c r="I62" s="23" t="s">
        <v>427</v>
      </c>
    </row>
    <row r="63" s="20" customFormat="1" ht="46" customHeight="1" spans="1:9">
      <c r="A63" s="22">
        <v>45786</v>
      </c>
      <c r="B63" s="23" t="s">
        <v>568</v>
      </c>
      <c r="C63" s="23">
        <v>13260651615</v>
      </c>
      <c r="D63" s="23" t="s">
        <v>429</v>
      </c>
      <c r="E63" s="23" t="s">
        <v>430</v>
      </c>
      <c r="F63" s="25" t="s">
        <v>524</v>
      </c>
      <c r="G63" s="23" t="s">
        <v>525</v>
      </c>
      <c r="H63" s="23">
        <v>2100</v>
      </c>
      <c r="I63" s="23" t="s">
        <v>427</v>
      </c>
    </row>
    <row r="64" s="20" customFormat="1" ht="20" customHeight="1" spans="1:9">
      <c r="A64" s="22">
        <v>45794</v>
      </c>
      <c r="B64" s="26" t="s">
        <v>560</v>
      </c>
      <c r="C64" s="26">
        <v>15527240331</v>
      </c>
      <c r="D64" s="23"/>
      <c r="E64" s="23"/>
      <c r="F64" s="25"/>
      <c r="G64" s="23"/>
      <c r="H64" s="23">
        <v>3000</v>
      </c>
      <c r="I64" s="23" t="s">
        <v>427</v>
      </c>
    </row>
    <row r="65" s="20" customFormat="1" ht="42" customHeight="1" spans="1:9">
      <c r="A65" s="22">
        <v>45794</v>
      </c>
      <c r="B65" s="23" t="s">
        <v>428</v>
      </c>
      <c r="C65" s="25" t="s">
        <v>569</v>
      </c>
      <c r="D65" s="23" t="s">
        <v>429</v>
      </c>
      <c r="E65" s="23" t="s">
        <v>430</v>
      </c>
      <c r="F65" s="25" t="s">
        <v>570</v>
      </c>
      <c r="G65" s="25" t="s">
        <v>446</v>
      </c>
      <c r="H65" s="23">
        <v>1200</v>
      </c>
      <c r="I65" s="23" t="s">
        <v>427</v>
      </c>
    </row>
    <row r="66" s="20" customFormat="1" ht="29" customHeight="1" spans="1:9">
      <c r="A66" s="22">
        <v>45795</v>
      </c>
      <c r="B66" s="23" t="s">
        <v>571</v>
      </c>
      <c r="C66" s="23">
        <v>13616601270</v>
      </c>
      <c r="D66" s="23" t="s">
        <v>572</v>
      </c>
      <c r="E66" s="23" t="s">
        <v>573</v>
      </c>
      <c r="F66" s="25" t="s">
        <v>574</v>
      </c>
      <c r="G66" s="25" t="s">
        <v>575</v>
      </c>
      <c r="H66" s="23">
        <v>3500</v>
      </c>
      <c r="I66" s="23" t="s">
        <v>427</v>
      </c>
    </row>
    <row r="67" s="20" customFormat="1" ht="30" customHeight="1" spans="1:9">
      <c r="A67" s="22">
        <v>45800</v>
      </c>
      <c r="B67" s="23" t="s">
        <v>576</v>
      </c>
      <c r="C67" s="23">
        <v>13427566685</v>
      </c>
      <c r="D67" s="23" t="s">
        <v>577</v>
      </c>
      <c r="E67" s="23" t="s">
        <v>578</v>
      </c>
      <c r="F67" s="25" t="s">
        <v>579</v>
      </c>
      <c r="G67" s="23" t="s">
        <v>580</v>
      </c>
      <c r="H67" s="23">
        <v>995</v>
      </c>
      <c r="I67" s="23" t="s">
        <v>427</v>
      </c>
    </row>
    <row r="68" s="20" customFormat="1" ht="20" customHeight="1" spans="1:9">
      <c r="A68" s="22">
        <v>45801</v>
      </c>
      <c r="B68" s="23" t="s">
        <v>581</v>
      </c>
      <c r="C68" s="23">
        <v>15971472119</v>
      </c>
      <c r="D68" s="23" t="s">
        <v>582</v>
      </c>
      <c r="E68" s="23" t="s">
        <v>583</v>
      </c>
      <c r="F68" s="23"/>
      <c r="G68" s="23"/>
      <c r="H68" s="23">
        <v>2000</v>
      </c>
      <c r="I68" s="23" t="s">
        <v>427</v>
      </c>
    </row>
    <row r="69" s="20" customFormat="1" ht="20" customHeight="1" spans="1:9">
      <c r="A69" s="22">
        <v>45804</v>
      </c>
      <c r="B69" s="23" t="s">
        <v>428</v>
      </c>
      <c r="C69" s="23">
        <v>13986684439</v>
      </c>
      <c r="D69" s="23" t="s">
        <v>429</v>
      </c>
      <c r="E69" s="23" t="s">
        <v>430</v>
      </c>
      <c r="F69" s="25" t="s">
        <v>474</v>
      </c>
      <c r="G69" s="25" t="s">
        <v>438</v>
      </c>
      <c r="H69" s="23">
        <v>3000</v>
      </c>
      <c r="I69" s="23" t="s">
        <v>427</v>
      </c>
    </row>
    <row r="70" s="20" customFormat="1" ht="20" customHeight="1" spans="1:9">
      <c r="A70" s="22">
        <v>45807</v>
      </c>
      <c r="B70" s="23" t="s">
        <v>584</v>
      </c>
      <c r="C70" s="23">
        <v>15926263101</v>
      </c>
      <c r="D70" s="23"/>
      <c r="E70" s="23"/>
      <c r="F70" s="23"/>
      <c r="G70" s="23"/>
      <c r="H70" s="23">
        <v>6000</v>
      </c>
      <c r="I70" s="23" t="s">
        <v>427</v>
      </c>
    </row>
    <row r="71" s="20" customFormat="1" ht="20" customHeight="1" spans="1:9">
      <c r="A71" s="22">
        <v>45824</v>
      </c>
      <c r="B71" s="23" t="s">
        <v>504</v>
      </c>
      <c r="C71" s="23">
        <v>18707150628</v>
      </c>
      <c r="D71" s="23" t="s">
        <v>505</v>
      </c>
      <c r="E71" s="144" t="s">
        <v>506</v>
      </c>
      <c r="F71" s="23" t="s">
        <v>585</v>
      </c>
      <c r="G71" s="25" t="s">
        <v>508</v>
      </c>
      <c r="H71" s="23">
        <v>5400</v>
      </c>
      <c r="I71" s="23" t="s">
        <v>427</v>
      </c>
    </row>
    <row r="72" s="20" customFormat="1" ht="20" customHeight="1" spans="1:9">
      <c r="A72" s="22">
        <v>45833</v>
      </c>
      <c r="B72" s="26" t="s">
        <v>586</v>
      </c>
      <c r="C72" s="26">
        <v>17707434742</v>
      </c>
      <c r="D72" s="23" t="s">
        <v>469</v>
      </c>
      <c r="E72" s="23" t="s">
        <v>470</v>
      </c>
      <c r="F72" s="23"/>
      <c r="G72" s="23"/>
      <c r="H72" s="23">
        <v>200</v>
      </c>
      <c r="I72" s="23" t="s">
        <v>427</v>
      </c>
    </row>
    <row r="73" s="20" customFormat="1" ht="20" customHeight="1" spans="1:9">
      <c r="A73" s="22">
        <v>45838</v>
      </c>
      <c r="B73" s="23" t="s">
        <v>587</v>
      </c>
      <c r="C73" s="23">
        <v>18986188780</v>
      </c>
      <c r="D73" s="23"/>
      <c r="E73" s="23"/>
      <c r="F73" s="23"/>
      <c r="G73" s="23"/>
      <c r="H73" s="23">
        <v>1000</v>
      </c>
      <c r="I73" s="23" t="s">
        <v>427</v>
      </c>
    </row>
    <row r="74" s="20" customFormat="1" ht="20" customHeight="1" spans="1:9">
      <c r="A74" s="22">
        <v>45839</v>
      </c>
      <c r="B74" s="23" t="s">
        <v>588</v>
      </c>
      <c r="C74" s="23">
        <v>18126289365</v>
      </c>
      <c r="D74" s="23" t="s">
        <v>589</v>
      </c>
      <c r="E74" s="23" t="s">
        <v>590</v>
      </c>
      <c r="F74" s="23"/>
      <c r="G74" s="23"/>
      <c r="H74" s="23">
        <v>1800</v>
      </c>
      <c r="I74" s="23" t="s">
        <v>427</v>
      </c>
    </row>
    <row r="75" s="20" customFormat="1" ht="33" customHeight="1" spans="1:9">
      <c r="A75" s="22">
        <v>45843</v>
      </c>
      <c r="B75" s="26" t="s">
        <v>428</v>
      </c>
      <c r="C75" s="26">
        <v>13986684439</v>
      </c>
      <c r="D75" s="23" t="s">
        <v>429</v>
      </c>
      <c r="E75" s="23" t="s">
        <v>430</v>
      </c>
      <c r="F75" s="25" t="s">
        <v>591</v>
      </c>
      <c r="G75" s="25" t="s">
        <v>446</v>
      </c>
      <c r="H75" s="23">
        <v>1200</v>
      </c>
      <c r="I75" s="23" t="s">
        <v>427</v>
      </c>
    </row>
    <row r="76" s="20" customFormat="1" ht="35" customHeight="1" spans="1:9">
      <c r="A76" s="22">
        <v>45847</v>
      </c>
      <c r="B76" s="23" t="s">
        <v>592</v>
      </c>
      <c r="C76" s="23">
        <v>15392850579</v>
      </c>
      <c r="D76" s="23" t="s">
        <v>429</v>
      </c>
      <c r="E76" s="23" t="s">
        <v>430</v>
      </c>
      <c r="F76" s="25" t="s">
        <v>593</v>
      </c>
      <c r="G76" s="25" t="s">
        <v>446</v>
      </c>
      <c r="H76" s="23">
        <v>2250</v>
      </c>
      <c r="I76" s="23" t="s">
        <v>427</v>
      </c>
    </row>
    <row r="77" s="20" customFormat="1" ht="20" customHeight="1" spans="1:9">
      <c r="A77" s="36">
        <v>45849</v>
      </c>
      <c r="B77" s="34" t="s">
        <v>594</v>
      </c>
      <c r="C77" s="34">
        <v>15871484306</v>
      </c>
      <c r="D77" s="34" t="s">
        <v>595</v>
      </c>
      <c r="E77" s="34" t="s">
        <v>596</v>
      </c>
      <c r="F77" s="34"/>
      <c r="G77" s="34"/>
      <c r="H77" s="34">
        <v>1500</v>
      </c>
      <c r="I77" s="34" t="s">
        <v>427</v>
      </c>
    </row>
    <row r="78" ht="23" customHeight="1" spans="1:9">
      <c r="A78" s="36">
        <v>45873</v>
      </c>
      <c r="B78" s="34" t="s">
        <v>597</v>
      </c>
      <c r="C78" s="34">
        <v>13451202480</v>
      </c>
      <c r="D78" s="34" t="s">
        <v>429</v>
      </c>
      <c r="E78" s="34" t="s">
        <v>430</v>
      </c>
      <c r="F78" s="46" t="s">
        <v>591</v>
      </c>
      <c r="G78" s="46" t="s">
        <v>446</v>
      </c>
      <c r="H78" s="34">
        <v>5953.86</v>
      </c>
      <c r="I78" s="34" t="s">
        <v>427</v>
      </c>
    </row>
    <row r="79" ht="23" customHeight="1" spans="1:9">
      <c r="A79" s="22">
        <v>45888</v>
      </c>
      <c r="B79" s="23" t="s">
        <v>598</v>
      </c>
      <c r="C79" s="23">
        <v>17771794992</v>
      </c>
      <c r="D79" s="23" t="s">
        <v>599</v>
      </c>
      <c r="E79" s="23" t="s">
        <v>600</v>
      </c>
      <c r="F79" s="23" t="s">
        <v>601</v>
      </c>
      <c r="G79" s="23"/>
      <c r="H79" s="23">
        <v>2000</v>
      </c>
      <c r="I79" s="23" t="s">
        <v>427</v>
      </c>
    </row>
    <row r="80" ht="31" customHeight="1" spans="1:9">
      <c r="A80" s="22">
        <v>45911</v>
      </c>
      <c r="B80" s="25" t="s">
        <v>602</v>
      </c>
      <c r="C80" s="25" t="s">
        <v>603</v>
      </c>
      <c r="D80" s="23" t="s">
        <v>429</v>
      </c>
      <c r="E80" s="23" t="s">
        <v>430</v>
      </c>
      <c r="F80" s="25" t="s">
        <v>604</v>
      </c>
      <c r="G80" s="25" t="s">
        <v>605</v>
      </c>
      <c r="H80" s="23">
        <v>2250</v>
      </c>
      <c r="I80" s="23" t="s">
        <v>427</v>
      </c>
    </row>
    <row r="81" ht="51" customHeight="1" spans="1:9">
      <c r="A81" s="22">
        <v>45929</v>
      </c>
      <c r="B81" s="29" t="s">
        <v>606</v>
      </c>
      <c r="C81" s="29" t="s">
        <v>607</v>
      </c>
      <c r="D81" s="23" t="s">
        <v>608</v>
      </c>
      <c r="E81" s="144" t="s">
        <v>609</v>
      </c>
      <c r="F81" s="23" t="s">
        <v>610</v>
      </c>
      <c r="G81" s="25" t="s">
        <v>611</v>
      </c>
      <c r="H81" s="23">
        <v>1600</v>
      </c>
      <c r="I81" s="23" t="s">
        <v>427</v>
      </c>
    </row>
    <row r="82" ht="27" customHeight="1" spans="1:9">
      <c r="A82" s="22">
        <v>45939</v>
      </c>
      <c r="B82" s="23" t="s">
        <v>428</v>
      </c>
      <c r="C82" s="23">
        <v>13986684439</v>
      </c>
      <c r="D82" s="23" t="s">
        <v>429</v>
      </c>
      <c r="E82" s="25" t="s">
        <v>430</v>
      </c>
      <c r="F82" s="25" t="s">
        <v>612</v>
      </c>
      <c r="G82" s="25" t="s">
        <v>446</v>
      </c>
      <c r="H82" s="23">
        <v>3000</v>
      </c>
      <c r="I82" s="23" t="s">
        <v>427</v>
      </c>
    </row>
    <row r="83" customHeight="1" spans="1:9">
      <c r="A83" s="22">
        <v>45950</v>
      </c>
      <c r="B83" s="23" t="s">
        <v>613</v>
      </c>
      <c r="C83" s="23">
        <v>18745095670</v>
      </c>
      <c r="D83" s="34" t="s">
        <v>614</v>
      </c>
      <c r="E83" s="145" t="s">
        <v>615</v>
      </c>
      <c r="F83" s="46" t="s">
        <v>616</v>
      </c>
      <c r="G83" s="46" t="s">
        <v>617</v>
      </c>
      <c r="H83" s="34">
        <v>2800</v>
      </c>
      <c r="I83" s="34" t="s">
        <v>427</v>
      </c>
    </row>
    <row r="84" customHeight="1" spans="1:9">
      <c r="A84" s="22"/>
      <c r="B84" s="23" t="s">
        <v>618</v>
      </c>
      <c r="C84" s="23">
        <v>15902356762</v>
      </c>
      <c r="D84" s="47"/>
      <c r="E84" s="47"/>
      <c r="F84" s="48"/>
      <c r="G84" s="48"/>
      <c r="H84" s="47"/>
      <c r="I84" s="47"/>
    </row>
    <row r="85" customHeight="1" spans="1:9">
      <c r="A85" s="36"/>
      <c r="B85" s="34" t="s">
        <v>619</v>
      </c>
      <c r="C85" s="34">
        <v>13072703101</v>
      </c>
      <c r="D85" s="47"/>
      <c r="E85" s="47"/>
      <c r="F85" s="48"/>
      <c r="G85" s="48"/>
      <c r="H85" s="47"/>
      <c r="I85" s="47"/>
    </row>
    <row r="86" s="23" customFormat="1" ht="29" customHeight="1" spans="1:9">
      <c r="A86" s="22">
        <v>45969</v>
      </c>
      <c r="B86" s="23" t="s">
        <v>620</v>
      </c>
      <c r="C86" s="23">
        <v>19907145739</v>
      </c>
      <c r="D86" s="23" t="s">
        <v>621</v>
      </c>
      <c r="E86" s="23" t="s">
        <v>622</v>
      </c>
      <c r="F86" s="23" t="s">
        <v>623</v>
      </c>
      <c r="G86" s="25" t="s">
        <v>624</v>
      </c>
      <c r="H86" s="23">
        <v>1100</v>
      </c>
      <c r="I86" s="23" t="s">
        <v>427</v>
      </c>
    </row>
    <row r="87" s="23" customFormat="1" ht="47" customHeight="1" spans="1:9">
      <c r="A87" s="22">
        <v>45978</v>
      </c>
      <c r="B87" s="23" t="s">
        <v>625</v>
      </c>
      <c r="C87" s="23">
        <v>13277401415</v>
      </c>
      <c r="D87" s="23" t="s">
        <v>429</v>
      </c>
      <c r="E87" s="25" t="s">
        <v>430</v>
      </c>
      <c r="F87" s="25" t="s">
        <v>604</v>
      </c>
      <c r="G87" s="25" t="s">
        <v>438</v>
      </c>
      <c r="H87" s="23">
        <v>2250</v>
      </c>
      <c r="I87" s="23" t="s">
        <v>427</v>
      </c>
    </row>
    <row r="88" s="23" customFormat="1" ht="52" customHeight="1" spans="1:9">
      <c r="A88" s="22">
        <v>45978</v>
      </c>
      <c r="B88" s="23" t="s">
        <v>626</v>
      </c>
      <c r="C88" s="23">
        <v>18873085021</v>
      </c>
      <c r="D88" s="23" t="s">
        <v>429</v>
      </c>
      <c r="E88" s="23" t="s">
        <v>430</v>
      </c>
      <c r="F88" s="25" t="s">
        <v>604</v>
      </c>
      <c r="G88" s="25" t="s">
        <v>438</v>
      </c>
      <c r="H88" s="23">
        <v>263</v>
      </c>
      <c r="I88" s="23" t="s">
        <v>427</v>
      </c>
    </row>
    <row r="89" ht="42" customHeight="1" spans="1:9">
      <c r="A89" s="36">
        <v>45996</v>
      </c>
      <c r="B89" s="34" t="s">
        <v>627</v>
      </c>
      <c r="C89" s="34">
        <v>15072357003</v>
      </c>
      <c r="D89" s="34" t="s">
        <v>553</v>
      </c>
      <c r="E89" s="145" t="s">
        <v>554</v>
      </c>
      <c r="F89" s="34" t="s">
        <v>628</v>
      </c>
      <c r="G89" s="46" t="s">
        <v>629</v>
      </c>
      <c r="H89" s="34">
        <v>1800</v>
      </c>
      <c r="I89" s="34" t="s">
        <v>427</v>
      </c>
    </row>
    <row r="90" s="23" customFormat="1" ht="24" customHeight="1" spans="1:9">
      <c r="A90" s="22">
        <v>45999</v>
      </c>
      <c r="B90" s="23" t="s">
        <v>584</v>
      </c>
      <c r="C90" s="23">
        <v>15926263101</v>
      </c>
      <c r="F90" s="25"/>
      <c r="H90" s="23">
        <v>13711</v>
      </c>
      <c r="I90" s="23" t="s">
        <v>427</v>
      </c>
    </row>
    <row r="91" s="23" customFormat="1" ht="33" customHeight="1" spans="1:9">
      <c r="A91" s="22">
        <v>46006</v>
      </c>
      <c r="B91" s="23" t="s">
        <v>630</v>
      </c>
      <c r="C91" s="23">
        <v>18271460820</v>
      </c>
      <c r="D91" s="23" t="s">
        <v>429</v>
      </c>
      <c r="E91" s="23" t="s">
        <v>430</v>
      </c>
      <c r="F91" s="25" t="s">
        <v>604</v>
      </c>
      <c r="G91" s="25" t="s">
        <v>446</v>
      </c>
      <c r="H91" s="23">
        <v>2400</v>
      </c>
      <c r="I91" s="23" t="s">
        <v>427</v>
      </c>
    </row>
    <row r="92" s="23" customFormat="1" ht="28" customHeight="1" spans="1:9">
      <c r="A92" s="22">
        <v>46007</v>
      </c>
      <c r="B92" s="23" t="s">
        <v>428</v>
      </c>
      <c r="C92" s="23">
        <v>13986684439</v>
      </c>
      <c r="D92" s="23" t="s">
        <v>429</v>
      </c>
      <c r="E92" s="23" t="s">
        <v>430</v>
      </c>
      <c r="F92" s="25" t="s">
        <v>604</v>
      </c>
      <c r="G92" s="25" t="s">
        <v>446</v>
      </c>
      <c r="H92" s="23">
        <v>3000</v>
      </c>
      <c r="I92" s="23" t="s">
        <v>427</v>
      </c>
    </row>
    <row r="93" ht="27" customHeight="1" spans="1:9">
      <c r="A93" s="22">
        <v>46008</v>
      </c>
      <c r="B93" s="26" t="s">
        <v>631</v>
      </c>
      <c r="C93" s="26">
        <v>13212781002</v>
      </c>
      <c r="D93" s="23"/>
      <c r="E93" s="23"/>
      <c r="F93" s="23"/>
      <c r="G93" s="23"/>
      <c r="H93" s="23">
        <v>1200</v>
      </c>
      <c r="I93" s="23" t="s">
        <v>427</v>
      </c>
    </row>
    <row r="94" ht="27" customHeight="1" spans="1:9">
      <c r="A94" s="36">
        <v>46015</v>
      </c>
      <c r="B94" s="46" t="s">
        <v>632</v>
      </c>
      <c r="C94" s="46" t="s">
        <v>633</v>
      </c>
      <c r="D94" s="34" t="s">
        <v>634</v>
      </c>
      <c r="E94" s="34" t="s">
        <v>635</v>
      </c>
      <c r="F94" s="46" t="s">
        <v>636</v>
      </c>
      <c r="G94" s="34"/>
      <c r="H94" s="34">
        <v>2980</v>
      </c>
      <c r="I94" s="34" t="s">
        <v>427</v>
      </c>
    </row>
    <row r="95" s="23" customFormat="1" ht="33" customHeight="1" spans="1:9">
      <c r="A95" s="22">
        <v>46017</v>
      </c>
      <c r="B95" s="23" t="s">
        <v>637</v>
      </c>
      <c r="C95" s="23">
        <v>13839516175</v>
      </c>
      <c r="D95" s="23" t="s">
        <v>429</v>
      </c>
      <c r="E95" s="23" t="s">
        <v>430</v>
      </c>
      <c r="F95" s="25" t="s">
        <v>638</v>
      </c>
      <c r="G95" s="25" t="s">
        <v>446</v>
      </c>
      <c r="H95" s="23">
        <v>2904.69</v>
      </c>
      <c r="I95" s="34" t="s">
        <v>427</v>
      </c>
    </row>
    <row r="96" s="23" customFormat="1" ht="33" customHeight="1" spans="1:9">
      <c r="A96" s="22">
        <v>46018</v>
      </c>
      <c r="B96" s="23" t="s">
        <v>639</v>
      </c>
      <c r="C96" s="23">
        <v>17673012952</v>
      </c>
      <c r="D96" s="23" t="s">
        <v>429</v>
      </c>
      <c r="E96" s="23" t="s">
        <v>430</v>
      </c>
      <c r="F96" s="25" t="s">
        <v>431</v>
      </c>
      <c r="G96" s="25" t="s">
        <v>446</v>
      </c>
      <c r="H96" s="23">
        <v>3233.13</v>
      </c>
      <c r="I96" s="34" t="s">
        <v>427</v>
      </c>
    </row>
    <row r="97" s="23" customFormat="1" ht="29" customHeight="1" spans="1:9">
      <c r="A97" s="22">
        <v>46020</v>
      </c>
      <c r="B97" s="23" t="s">
        <v>640</v>
      </c>
      <c r="C97" s="23">
        <v>15205187072</v>
      </c>
      <c r="D97" s="23" t="s">
        <v>641</v>
      </c>
      <c r="E97" s="23" t="s">
        <v>642</v>
      </c>
      <c r="F97" s="25" t="s">
        <v>643</v>
      </c>
      <c r="G97" s="25" t="s">
        <v>644</v>
      </c>
      <c r="H97" s="23">
        <v>400</v>
      </c>
      <c r="I97" s="23" t="s">
        <v>427</v>
      </c>
    </row>
    <row r="98" ht="34" customHeight="1" spans="1:9">
      <c r="A98" s="22">
        <v>46029</v>
      </c>
      <c r="B98" s="23" t="s">
        <v>645</v>
      </c>
      <c r="C98" s="23">
        <v>18971542748</v>
      </c>
      <c r="D98" s="23" t="s">
        <v>429</v>
      </c>
      <c r="E98" s="23" t="s">
        <v>430</v>
      </c>
      <c r="F98" s="25" t="s">
        <v>431</v>
      </c>
      <c r="G98" s="25" t="s">
        <v>446</v>
      </c>
      <c r="H98" s="23">
        <v>2400</v>
      </c>
      <c r="I98" s="23" t="s">
        <v>427</v>
      </c>
    </row>
    <row r="99" ht="27" customHeight="1" spans="1:9">
      <c r="A99" s="22">
        <v>46055</v>
      </c>
      <c r="B99" s="23" t="s">
        <v>646</v>
      </c>
      <c r="C99" s="23">
        <v>15927077690</v>
      </c>
      <c r="D99" s="23" t="s">
        <v>647</v>
      </c>
      <c r="E99" s="23" t="s">
        <v>648</v>
      </c>
      <c r="F99" s="25" t="s">
        <v>649</v>
      </c>
      <c r="G99" s="25" t="s">
        <v>650</v>
      </c>
      <c r="H99" s="23">
        <v>1490</v>
      </c>
      <c r="I99" s="23" t="s">
        <v>427</v>
      </c>
    </row>
    <row r="100" ht="27" customHeight="1" spans="1:9">
      <c r="A100" s="22">
        <v>46055</v>
      </c>
      <c r="B100" s="23" t="s">
        <v>646</v>
      </c>
      <c r="C100" s="23">
        <v>15927077690</v>
      </c>
      <c r="D100" s="23" t="s">
        <v>647</v>
      </c>
      <c r="E100" s="23" t="s">
        <v>648</v>
      </c>
      <c r="F100" s="25" t="s">
        <v>649</v>
      </c>
      <c r="G100" s="25" t="s">
        <v>650</v>
      </c>
      <c r="H100" s="23">
        <v>1490</v>
      </c>
      <c r="I100" s="23" t="s">
        <v>427</v>
      </c>
    </row>
    <row r="101" ht="31" customHeight="1" spans="1:9">
      <c r="A101" s="22">
        <v>46056</v>
      </c>
      <c r="B101" s="23" t="s">
        <v>651</v>
      </c>
      <c r="C101" s="23">
        <v>15572412726</v>
      </c>
      <c r="D101" s="23"/>
      <c r="E101" s="23"/>
      <c r="F101" s="23"/>
      <c r="G101" s="23"/>
      <c r="H101" s="23">
        <v>3000</v>
      </c>
      <c r="I101" s="23" t="s">
        <v>427</v>
      </c>
    </row>
    <row r="102" ht="25" customHeight="1" spans="1:9">
      <c r="A102" s="49">
        <v>46084</v>
      </c>
      <c r="B102" s="23" t="s">
        <v>652</v>
      </c>
      <c r="C102" s="23">
        <v>13545626433</v>
      </c>
      <c r="D102" s="23"/>
      <c r="E102" s="23"/>
      <c r="F102" s="23"/>
      <c r="G102" s="23"/>
      <c r="H102" s="23">
        <v>2025</v>
      </c>
      <c r="I102" s="23" t="s">
        <v>427</v>
      </c>
    </row>
    <row r="103" customHeight="1" spans="1:9">
      <c r="A103" s="49">
        <v>46084</v>
      </c>
      <c r="B103" s="23" t="s">
        <v>653</v>
      </c>
      <c r="C103" s="23">
        <v>15827741463</v>
      </c>
      <c r="D103" s="23"/>
      <c r="E103" s="23"/>
      <c r="F103" s="23"/>
      <c r="G103" s="23"/>
      <c r="H103" s="23">
        <v>1299</v>
      </c>
      <c r="I103" s="23" t="s">
        <v>427</v>
      </c>
    </row>
    <row r="104" customHeight="1" spans="1:9">
      <c r="A104" s="22">
        <v>46090</v>
      </c>
      <c r="B104" s="23" t="s">
        <v>654</v>
      </c>
      <c r="C104" s="23">
        <v>13477269863</v>
      </c>
      <c r="D104" s="23"/>
      <c r="E104" s="23"/>
      <c r="F104" s="23"/>
      <c r="G104" s="23"/>
      <c r="H104" s="23">
        <v>800</v>
      </c>
      <c r="I104" s="23" t="s">
        <v>427</v>
      </c>
    </row>
    <row r="105" customHeight="1" spans="1:9">
      <c r="A105" s="22">
        <v>46091</v>
      </c>
      <c r="B105" s="23" t="s">
        <v>655</v>
      </c>
      <c r="C105" s="23">
        <v>15391611852</v>
      </c>
      <c r="D105" s="23"/>
      <c r="E105" s="23"/>
      <c r="F105" s="23"/>
      <c r="G105" s="23"/>
      <c r="H105" s="23">
        <v>1499</v>
      </c>
      <c r="I105" s="23" t="s">
        <v>427</v>
      </c>
    </row>
    <row r="106" ht="19" customHeight="1" spans="1:9">
      <c r="A106" s="22">
        <v>46096</v>
      </c>
      <c r="B106" s="23" t="s">
        <v>655</v>
      </c>
      <c r="C106" s="23">
        <v>15391611852</v>
      </c>
      <c r="D106" s="23"/>
      <c r="E106" s="23"/>
      <c r="F106" s="23"/>
      <c r="G106" s="23"/>
      <c r="H106" s="23">
        <v>500</v>
      </c>
      <c r="I106" s="23" t="s">
        <v>427</v>
      </c>
    </row>
    <row r="107" ht="42" customHeight="1" spans="1:9">
      <c r="A107" s="22">
        <v>46098</v>
      </c>
      <c r="B107" s="23" t="s">
        <v>656</v>
      </c>
      <c r="C107" s="23">
        <v>18694077801</v>
      </c>
      <c r="D107" s="23" t="s">
        <v>429</v>
      </c>
      <c r="E107" s="23" t="s">
        <v>430</v>
      </c>
      <c r="F107" s="25" t="s">
        <v>524</v>
      </c>
      <c r="G107" s="25" t="s">
        <v>657</v>
      </c>
      <c r="H107" s="23">
        <v>1500</v>
      </c>
      <c r="I107" s="23" t="s">
        <v>427</v>
      </c>
    </row>
    <row r="108" ht="29" customHeight="1" spans="1:9">
      <c r="A108" s="22">
        <v>46099</v>
      </c>
      <c r="B108" s="23" t="s">
        <v>428</v>
      </c>
      <c r="C108" s="23">
        <v>13986684439</v>
      </c>
      <c r="D108" s="23" t="s">
        <v>429</v>
      </c>
      <c r="E108" s="23" t="s">
        <v>430</v>
      </c>
      <c r="F108" s="25" t="s">
        <v>604</v>
      </c>
      <c r="G108" s="25" t="s">
        <v>446</v>
      </c>
      <c r="H108" s="23">
        <v>3000</v>
      </c>
      <c r="I108" s="23" t="s">
        <v>427</v>
      </c>
    </row>
    <row r="109" customHeight="1" spans="1:9">
      <c r="A109" s="22">
        <v>46100</v>
      </c>
      <c r="B109" s="23" t="s">
        <v>658</v>
      </c>
      <c r="C109" s="23">
        <v>15072353107</v>
      </c>
      <c r="D109" s="23"/>
      <c r="E109" s="23"/>
      <c r="F109" s="23"/>
      <c r="G109" s="23"/>
      <c r="H109" s="23">
        <v>300</v>
      </c>
      <c r="I109" s="23" t="s">
        <v>427</v>
      </c>
    </row>
    <row r="110" customHeight="1" spans="1:9">
      <c r="A110" s="22">
        <v>46100</v>
      </c>
      <c r="B110" s="23" t="s">
        <v>659</v>
      </c>
      <c r="C110" s="23">
        <v>19163811899</v>
      </c>
      <c r="D110" s="23"/>
      <c r="E110" s="23"/>
      <c r="F110" s="23"/>
      <c r="G110" s="23"/>
      <c r="H110" s="23">
        <v>400</v>
      </c>
      <c r="I110" s="23" t="s">
        <v>427</v>
      </c>
    </row>
    <row r="111" customHeight="1" spans="1:9">
      <c r="A111" s="22">
        <v>46104</v>
      </c>
      <c r="B111" s="23" t="s">
        <v>660</v>
      </c>
      <c r="C111" s="23">
        <v>13349831950</v>
      </c>
      <c r="D111" s="23"/>
      <c r="E111" s="23"/>
      <c r="F111" s="23"/>
      <c r="G111" s="23"/>
      <c r="H111" s="23">
        <v>499</v>
      </c>
      <c r="I111" s="23" t="s">
        <v>427</v>
      </c>
    </row>
    <row r="112" ht="19" customHeight="1" spans="1:9">
      <c r="A112" s="22">
        <v>46107</v>
      </c>
      <c r="B112" s="23" t="s">
        <v>661</v>
      </c>
      <c r="C112" s="23">
        <v>15639790018</v>
      </c>
      <c r="D112" s="23"/>
      <c r="E112" s="23"/>
      <c r="F112" s="23"/>
      <c r="G112" s="23"/>
      <c r="H112" s="23">
        <v>1400</v>
      </c>
      <c r="I112" s="23" t="s">
        <v>427</v>
      </c>
    </row>
    <row r="113" customHeight="1" spans="1:9">
      <c r="A113" s="22">
        <v>46111</v>
      </c>
      <c r="B113" s="23" t="s">
        <v>662</v>
      </c>
      <c r="C113" s="23">
        <v>18580771283</v>
      </c>
      <c r="D113" s="23"/>
      <c r="E113" s="23"/>
      <c r="F113" s="23"/>
      <c r="G113" s="23"/>
      <c r="H113" s="23">
        <v>800</v>
      </c>
      <c r="I113" s="23" t="s">
        <v>427</v>
      </c>
    </row>
    <row r="114" customHeight="1" spans="1:9">
      <c r="A114" s="22">
        <v>46112</v>
      </c>
      <c r="B114" s="23" t="s">
        <v>663</v>
      </c>
      <c r="C114" s="23">
        <v>13697338663</v>
      </c>
      <c r="D114" s="23"/>
      <c r="E114" s="23"/>
      <c r="F114" s="23"/>
      <c r="G114" s="23"/>
      <c r="H114" s="23">
        <v>1500</v>
      </c>
      <c r="I114" s="23" t="s">
        <v>427</v>
      </c>
    </row>
    <row r="115" ht="38" customHeight="1" spans="1:9">
      <c r="A115" s="22">
        <v>46112</v>
      </c>
      <c r="B115" s="25" t="s">
        <v>664</v>
      </c>
      <c r="C115" s="25" t="s">
        <v>665</v>
      </c>
      <c r="D115" s="25" t="s">
        <v>666</v>
      </c>
      <c r="E115" s="23" t="s">
        <v>430</v>
      </c>
      <c r="F115" s="25" t="s">
        <v>604</v>
      </c>
      <c r="G115" s="25" t="s">
        <v>446</v>
      </c>
      <c r="H115" s="23">
        <v>2329</v>
      </c>
      <c r="I115" s="23" t="s">
        <v>427</v>
      </c>
    </row>
    <row r="116" customHeight="1" spans="1:9">
      <c r="A116" s="22">
        <v>46112</v>
      </c>
      <c r="B116" s="23" t="s">
        <v>667</v>
      </c>
      <c r="C116" s="23">
        <v>13971505801</v>
      </c>
      <c r="D116" s="23" t="s">
        <v>668</v>
      </c>
      <c r="E116" s="23" t="s">
        <v>669</v>
      </c>
      <c r="F116" s="23" t="s">
        <v>670</v>
      </c>
      <c r="G116" s="25" t="s">
        <v>671</v>
      </c>
      <c r="H116" s="23">
        <v>2500</v>
      </c>
      <c r="I116" s="23" t="s">
        <v>427</v>
      </c>
    </row>
    <row r="117" customHeight="1" spans="1:9">
      <c r="A117" s="22">
        <v>46115</v>
      </c>
      <c r="B117" s="23" t="s">
        <v>672</v>
      </c>
      <c r="C117" s="23">
        <v>13972925308</v>
      </c>
      <c r="D117" s="23"/>
      <c r="E117" s="23"/>
      <c r="F117" s="23"/>
      <c r="G117" s="23"/>
      <c r="H117" s="23">
        <v>1000</v>
      </c>
      <c r="I117" s="23" t="s">
        <v>427</v>
      </c>
    </row>
    <row r="118" customHeight="1" spans="1:9">
      <c r="A118" s="22">
        <v>46119</v>
      </c>
      <c r="B118" s="23" t="s">
        <v>673</v>
      </c>
      <c r="C118" s="23">
        <v>17720483253</v>
      </c>
      <c r="D118" s="23"/>
      <c r="E118" s="23"/>
      <c r="F118" s="23"/>
      <c r="G118" s="23"/>
      <c r="H118" s="23">
        <v>450</v>
      </c>
      <c r="I118" s="23" t="s">
        <v>427</v>
      </c>
    </row>
    <row r="119" customHeight="1" spans="1:9">
      <c r="A119" s="36">
        <v>46119</v>
      </c>
      <c r="B119" s="34" t="s">
        <v>674</v>
      </c>
      <c r="C119" s="34">
        <v>15071392776</v>
      </c>
      <c r="D119" s="34"/>
      <c r="E119" s="34"/>
      <c r="F119" s="34"/>
      <c r="G119" s="34"/>
      <c r="H119" s="34">
        <v>1500</v>
      </c>
      <c r="I119" s="34" t="s">
        <v>427</v>
      </c>
    </row>
    <row r="120" s="34" customFormat="1" customHeight="1" spans="1:9">
      <c r="A120" s="36">
        <v>46121</v>
      </c>
      <c r="B120" s="34" t="s">
        <v>653</v>
      </c>
      <c r="C120" s="34">
        <v>17671708942</v>
      </c>
      <c r="H120" s="34">
        <v>2588</v>
      </c>
      <c r="I120" s="34" t="s">
        <v>427</v>
      </c>
    </row>
    <row r="121" s="23" customFormat="1" ht="24" customHeight="1" spans="1:9">
      <c r="A121" s="36">
        <v>46122</v>
      </c>
      <c r="B121" s="34" t="s">
        <v>675</v>
      </c>
      <c r="C121" s="34">
        <v>15207170712</v>
      </c>
      <c r="D121" s="34"/>
      <c r="E121" s="34"/>
      <c r="F121" s="34"/>
      <c r="G121" s="34"/>
      <c r="H121" s="34">
        <v>3480</v>
      </c>
      <c r="I121" s="34" t="s">
        <v>427</v>
      </c>
    </row>
    <row r="122" customHeight="1" spans="1:9">
      <c r="A122" s="22">
        <v>46128</v>
      </c>
      <c r="B122" s="23" t="s">
        <v>676</v>
      </c>
      <c r="C122" s="23">
        <v>18827653899</v>
      </c>
      <c r="D122" s="23"/>
      <c r="E122" s="23"/>
      <c r="F122" s="23"/>
      <c r="G122" s="23"/>
      <c r="H122" s="23">
        <v>4599</v>
      </c>
      <c r="I122" s="23" t="s">
        <v>427</v>
      </c>
    </row>
    <row r="123" customHeight="1" spans="1:9">
      <c r="A123" s="36">
        <v>46128</v>
      </c>
      <c r="B123" s="34" t="s">
        <v>457</v>
      </c>
      <c r="C123" s="34">
        <v>15527172405</v>
      </c>
      <c r="D123" s="34" t="s">
        <v>458</v>
      </c>
      <c r="E123" s="34" t="s">
        <v>459</v>
      </c>
      <c r="F123" s="34" t="s">
        <v>677</v>
      </c>
      <c r="G123" s="34" t="s">
        <v>678</v>
      </c>
      <c r="H123" s="34">
        <v>2000</v>
      </c>
      <c r="I123" s="34" t="s">
        <v>427</v>
      </c>
    </row>
    <row r="124" s="23" customFormat="1" ht="18" customHeight="1" spans="1:9">
      <c r="A124" s="22">
        <v>46130</v>
      </c>
      <c r="B124" s="23" t="s">
        <v>679</v>
      </c>
      <c r="C124" s="23">
        <v>15972536516</v>
      </c>
      <c r="H124" s="23">
        <v>499</v>
      </c>
      <c r="I124" s="23" t="s">
        <v>427</v>
      </c>
    </row>
    <row r="125" s="23" customFormat="1" customHeight="1" spans="1:9">
      <c r="A125" s="22">
        <v>46138</v>
      </c>
      <c r="B125" s="23" t="s">
        <v>680</v>
      </c>
      <c r="C125" s="23">
        <v>17386571281</v>
      </c>
      <c r="H125" s="23">
        <v>1500</v>
      </c>
      <c r="I125" s="23" t="s">
        <v>427</v>
      </c>
    </row>
    <row r="126" s="23" customFormat="1" ht="28" customHeight="1" spans="1:9">
      <c r="A126" s="22">
        <v>46141</v>
      </c>
      <c r="B126" s="23" t="s">
        <v>681</v>
      </c>
      <c r="C126" s="23">
        <v>15893837570</v>
      </c>
      <c r="D126" s="23" t="s">
        <v>682</v>
      </c>
      <c r="H126" s="23">
        <v>600</v>
      </c>
      <c r="I126" s="23" t="s">
        <v>427</v>
      </c>
    </row>
    <row r="127" s="23" customFormat="1" ht="28" customHeight="1" spans="1:9">
      <c r="A127" s="22">
        <v>46141</v>
      </c>
      <c r="B127" s="23" t="s">
        <v>683</v>
      </c>
      <c r="C127" s="23">
        <v>13756715562</v>
      </c>
      <c r="D127" s="23" t="s">
        <v>682</v>
      </c>
      <c r="H127" s="23">
        <v>800</v>
      </c>
      <c r="I127" s="23" t="s">
        <v>427</v>
      </c>
    </row>
    <row r="128" s="23" customFormat="1" ht="28" customHeight="1" spans="1:9">
      <c r="A128" s="22">
        <v>46141</v>
      </c>
      <c r="B128" s="23" t="s">
        <v>684</v>
      </c>
      <c r="C128" s="23">
        <v>15527187222</v>
      </c>
      <c r="D128" s="23" t="s">
        <v>685</v>
      </c>
      <c r="E128" s="23" t="s">
        <v>686</v>
      </c>
      <c r="F128" s="25" t="s">
        <v>687</v>
      </c>
      <c r="G128" s="25" t="s">
        <v>688</v>
      </c>
      <c r="H128" s="23">
        <v>2400</v>
      </c>
      <c r="I128" s="23" t="s">
        <v>427</v>
      </c>
    </row>
    <row r="129" s="23" customFormat="1" ht="27" customHeight="1" spans="1:9">
      <c r="A129" s="22">
        <v>46148</v>
      </c>
      <c r="B129" s="23" t="s">
        <v>689</v>
      </c>
      <c r="C129" s="23">
        <v>18327150708</v>
      </c>
      <c r="D129" s="23" t="s">
        <v>682</v>
      </c>
      <c r="H129" s="23">
        <v>1500</v>
      </c>
      <c r="I129" s="23" t="s">
        <v>427</v>
      </c>
    </row>
    <row r="130" ht="24" customHeight="1" spans="1:9">
      <c r="A130" s="22">
        <v>46149</v>
      </c>
      <c r="B130" s="23" t="s">
        <v>690</v>
      </c>
      <c r="C130" s="23">
        <v>13687261586</v>
      </c>
      <c r="D130" s="23" t="s">
        <v>691</v>
      </c>
      <c r="E130" s="23" t="s">
        <v>692</v>
      </c>
      <c r="F130" s="23"/>
      <c r="G130" s="23"/>
      <c r="H130" s="23">
        <v>320</v>
      </c>
      <c r="I130" s="23" t="s">
        <v>427</v>
      </c>
    </row>
    <row r="131" ht="32" customHeight="1" spans="1:9">
      <c r="A131" s="36">
        <v>46150</v>
      </c>
      <c r="B131" s="34" t="s">
        <v>693</v>
      </c>
      <c r="C131" s="34">
        <v>15972160221</v>
      </c>
      <c r="D131" s="34" t="s">
        <v>429</v>
      </c>
      <c r="E131" s="34" t="s">
        <v>430</v>
      </c>
      <c r="F131" s="46" t="s">
        <v>694</v>
      </c>
      <c r="G131" s="46" t="s">
        <v>605</v>
      </c>
      <c r="H131" s="34">
        <v>500</v>
      </c>
      <c r="I131" s="34" t="s">
        <v>427</v>
      </c>
    </row>
    <row r="132" s="34" customFormat="1" ht="26" customHeight="1" spans="1:9">
      <c r="A132" s="36">
        <v>46153</v>
      </c>
      <c r="B132" s="34" t="s">
        <v>695</v>
      </c>
      <c r="C132" s="34">
        <v>13476102035</v>
      </c>
      <c r="D132" s="34" t="s">
        <v>682</v>
      </c>
      <c r="H132" s="34">
        <v>1000</v>
      </c>
      <c r="I132" s="34" t="s">
        <v>427</v>
      </c>
    </row>
    <row r="133" s="23" customFormat="1" ht="24" customHeight="1" spans="1:9">
      <c r="A133" s="22">
        <v>46155</v>
      </c>
      <c r="B133" s="23" t="s">
        <v>696</v>
      </c>
      <c r="C133" s="23">
        <v>17371788619</v>
      </c>
      <c r="D133" s="23" t="s">
        <v>682</v>
      </c>
      <c r="H133" s="23">
        <v>1000</v>
      </c>
      <c r="I133" s="23" t="s">
        <v>427</v>
      </c>
    </row>
    <row r="134" s="23" customFormat="1" ht="45" customHeight="1" spans="1:9">
      <c r="A134" s="22">
        <v>46156</v>
      </c>
      <c r="B134" s="23" t="s">
        <v>697</v>
      </c>
      <c r="C134" s="23">
        <v>18164082236</v>
      </c>
      <c r="D134" s="23" t="s">
        <v>429</v>
      </c>
      <c r="E134" s="23" t="s">
        <v>430</v>
      </c>
      <c r="F134" s="25" t="s">
        <v>524</v>
      </c>
      <c r="G134" s="25" t="s">
        <v>446</v>
      </c>
      <c r="H134" s="23">
        <v>2550</v>
      </c>
      <c r="I134" s="23" t="s">
        <v>427</v>
      </c>
    </row>
    <row r="135" ht="28" customHeight="1" spans="1:9">
      <c r="A135" s="22">
        <v>46155</v>
      </c>
      <c r="B135" s="23" t="s">
        <v>696</v>
      </c>
      <c r="C135" s="23">
        <v>17371788619</v>
      </c>
      <c r="D135" s="23" t="s">
        <v>682</v>
      </c>
      <c r="E135" s="23"/>
      <c r="F135" s="23"/>
      <c r="G135" s="23"/>
      <c r="H135" s="23">
        <v>500</v>
      </c>
      <c r="I135" s="23" t="s">
        <v>427</v>
      </c>
    </row>
    <row r="136" ht="26" customHeight="1" spans="1:9">
      <c r="A136" s="36">
        <v>46169</v>
      </c>
      <c r="B136" s="34" t="s">
        <v>698</v>
      </c>
      <c r="C136" s="34">
        <v>13667224578</v>
      </c>
      <c r="D136" s="34" t="s">
        <v>682</v>
      </c>
      <c r="E136" s="34"/>
      <c r="F136" s="34"/>
      <c r="G136" s="34"/>
      <c r="H136" s="34">
        <v>500</v>
      </c>
      <c r="I136" s="23" t="s">
        <v>427</v>
      </c>
    </row>
    <row r="137" s="23" customFormat="1" ht="27" customHeight="1" spans="1:9">
      <c r="A137" s="22">
        <v>46173</v>
      </c>
      <c r="B137" s="23" t="s">
        <v>699</v>
      </c>
      <c r="C137" s="23">
        <v>15671308820</v>
      </c>
      <c r="D137" s="23" t="s">
        <v>682</v>
      </c>
      <c r="H137" s="23">
        <v>800</v>
      </c>
      <c r="I137" s="23" t="s">
        <v>427</v>
      </c>
    </row>
    <row r="138" s="23" customFormat="1" ht="26" customHeight="1" spans="1:9">
      <c r="A138" s="22">
        <v>46174</v>
      </c>
      <c r="B138" s="23" t="s">
        <v>700</v>
      </c>
      <c r="C138" s="23">
        <v>15971023225</v>
      </c>
      <c r="D138" s="23" t="s">
        <v>682</v>
      </c>
      <c r="H138" s="23">
        <v>400</v>
      </c>
      <c r="I138" s="23" t="s">
        <v>427</v>
      </c>
    </row>
    <row r="139" s="23" customFormat="1" ht="24" customHeight="1" spans="1:9">
      <c r="A139" s="22">
        <v>46175</v>
      </c>
      <c r="B139" s="23" t="s">
        <v>701</v>
      </c>
      <c r="C139" s="23">
        <v>13277033164</v>
      </c>
      <c r="D139" s="23" t="s">
        <v>682</v>
      </c>
      <c r="H139" s="23">
        <v>400</v>
      </c>
      <c r="I139" s="23" t="s">
        <v>427</v>
      </c>
    </row>
    <row r="140" s="23" customFormat="1" ht="23" customHeight="1" spans="1:9">
      <c r="A140" s="22">
        <v>46175</v>
      </c>
      <c r="B140" s="23" t="s">
        <v>702</v>
      </c>
      <c r="C140" s="23">
        <v>13296576296</v>
      </c>
      <c r="D140" s="23" t="s">
        <v>682</v>
      </c>
      <c r="H140" s="23">
        <v>1000</v>
      </c>
      <c r="I140" s="23" t="s">
        <v>427</v>
      </c>
    </row>
    <row r="141" s="23" customFormat="1" ht="24" customHeight="1" spans="1:9">
      <c r="A141" s="22">
        <v>46175</v>
      </c>
      <c r="B141" s="23" t="s">
        <v>703</v>
      </c>
      <c r="C141" s="23">
        <v>17362422631</v>
      </c>
      <c r="D141" s="23" t="s">
        <v>682</v>
      </c>
      <c r="H141" s="23">
        <v>1000</v>
      </c>
      <c r="I141" s="23" t="s">
        <v>427</v>
      </c>
    </row>
    <row r="142" s="23" customFormat="1" ht="41" customHeight="1" spans="1:9">
      <c r="A142" s="22">
        <v>46183</v>
      </c>
      <c r="B142" s="23" t="s">
        <v>693</v>
      </c>
      <c r="C142" s="23">
        <v>15972160221</v>
      </c>
      <c r="D142" s="23" t="s">
        <v>429</v>
      </c>
      <c r="E142" s="23" t="s">
        <v>430</v>
      </c>
      <c r="F142" s="25" t="s">
        <v>524</v>
      </c>
      <c r="G142" s="25" t="s">
        <v>446</v>
      </c>
      <c r="H142" s="23">
        <v>3000</v>
      </c>
      <c r="I142" s="23" t="s">
        <v>427</v>
      </c>
    </row>
    <row r="143" ht="36" customHeight="1" spans="1:9">
      <c r="A143" s="22">
        <v>46184</v>
      </c>
      <c r="B143" s="23" t="s">
        <v>704</v>
      </c>
      <c r="C143" s="23">
        <v>13297090887</v>
      </c>
      <c r="D143" s="23" t="s">
        <v>682</v>
      </c>
      <c r="E143" s="23"/>
      <c r="F143" s="25"/>
      <c r="G143" s="25"/>
      <c r="H143" s="23">
        <v>1000</v>
      </c>
      <c r="I143" s="23" t="s">
        <v>427</v>
      </c>
    </row>
    <row r="144" ht="34" customHeight="1" spans="1:9">
      <c r="A144" s="22">
        <v>46184</v>
      </c>
      <c r="B144" s="23" t="s">
        <v>705</v>
      </c>
      <c r="C144" s="23">
        <v>15972917975</v>
      </c>
      <c r="D144" s="23" t="s">
        <v>682</v>
      </c>
      <c r="E144" s="23"/>
      <c r="F144" s="25"/>
      <c r="G144" s="25"/>
      <c r="H144" s="23">
        <v>1000</v>
      </c>
      <c r="I144" s="23" t="s">
        <v>427</v>
      </c>
    </row>
    <row r="145" ht="27" customHeight="1" spans="1:9">
      <c r="A145" s="36">
        <v>46187</v>
      </c>
      <c r="B145" s="50" t="s">
        <v>706</v>
      </c>
      <c r="C145" s="50">
        <v>15000322392</v>
      </c>
      <c r="D145" s="34" t="s">
        <v>682</v>
      </c>
      <c r="E145" s="34"/>
      <c r="F145" s="34"/>
      <c r="G145" s="34"/>
      <c r="H145" s="34">
        <v>1000</v>
      </c>
      <c r="I145" s="23" t="s">
        <v>427</v>
      </c>
    </row>
    <row r="146" s="23" customFormat="1" ht="40" customHeight="1" spans="1:9">
      <c r="A146" s="22">
        <v>46188</v>
      </c>
      <c r="B146" s="23" t="s">
        <v>707</v>
      </c>
      <c r="C146" s="23">
        <v>15377040231</v>
      </c>
      <c r="D146" s="23" t="s">
        <v>708</v>
      </c>
      <c r="E146" s="23" t="s">
        <v>709</v>
      </c>
      <c r="H146" s="23">
        <v>2999</v>
      </c>
      <c r="I146" s="23" t="s">
        <v>427</v>
      </c>
    </row>
    <row r="147" ht="30" customHeight="1" spans="1:9">
      <c r="A147" s="22">
        <v>46190</v>
      </c>
      <c r="B147" s="23" t="s">
        <v>705</v>
      </c>
      <c r="C147" s="23">
        <v>15972917975</v>
      </c>
      <c r="D147" s="23" t="s">
        <v>682</v>
      </c>
      <c r="E147" s="23"/>
      <c r="F147" s="23"/>
      <c r="G147" s="23"/>
      <c r="H147" s="23">
        <v>618</v>
      </c>
      <c r="I147" s="23" t="s">
        <v>427</v>
      </c>
    </row>
    <row r="148" ht="50" customHeight="1" spans="1:9">
      <c r="A148" s="22">
        <v>46196</v>
      </c>
      <c r="B148" s="23" t="s">
        <v>710</v>
      </c>
      <c r="C148" s="23">
        <v>13971287589</v>
      </c>
      <c r="D148" s="23" t="s">
        <v>429</v>
      </c>
      <c r="E148" s="23" t="s">
        <v>430</v>
      </c>
      <c r="F148" s="25" t="s">
        <v>591</v>
      </c>
      <c r="G148" s="25" t="s">
        <v>446</v>
      </c>
      <c r="H148" s="23">
        <v>2400</v>
      </c>
      <c r="I148" s="23" t="s">
        <v>427</v>
      </c>
    </row>
    <row r="149" ht="45" customHeight="1" spans="1:9">
      <c r="A149" s="22">
        <v>46202</v>
      </c>
      <c r="B149" s="23" t="s">
        <v>428</v>
      </c>
      <c r="C149" s="23">
        <v>13986684439</v>
      </c>
      <c r="D149" s="23" t="s">
        <v>429</v>
      </c>
      <c r="E149" s="23" t="s">
        <v>430</v>
      </c>
      <c r="F149" s="25" t="s">
        <v>591</v>
      </c>
      <c r="G149" s="25" t="s">
        <v>446</v>
      </c>
      <c r="H149" s="23">
        <v>1200</v>
      </c>
      <c r="I149" s="23"/>
    </row>
    <row r="150" ht="83" customHeight="1" spans="1:9">
      <c r="A150" s="22">
        <v>46207</v>
      </c>
      <c r="B150" s="25" t="s">
        <v>711</v>
      </c>
      <c r="C150" s="23">
        <v>13886189673</v>
      </c>
      <c r="D150" s="23" t="s">
        <v>712</v>
      </c>
      <c r="E150" s="23" t="s">
        <v>713</v>
      </c>
      <c r="F150" s="25" t="s">
        <v>714</v>
      </c>
      <c r="G150" s="25" t="s">
        <v>715</v>
      </c>
      <c r="H150" s="23">
        <v>5099</v>
      </c>
      <c r="I150" s="23"/>
    </row>
    <row r="151" ht="29" customHeight="1" spans="1:9">
      <c r="A151" s="22">
        <v>46210</v>
      </c>
      <c r="B151" s="25" t="s">
        <v>716</v>
      </c>
      <c r="C151" s="23">
        <v>18164110667</v>
      </c>
      <c r="D151" s="23" t="s">
        <v>682</v>
      </c>
      <c r="E151" s="23"/>
      <c r="F151" s="25"/>
      <c r="G151" s="25"/>
      <c r="H151" s="34">
        <v>1000</v>
      </c>
    </row>
    <row r="152" ht="26" customHeight="1" spans="1:9">
      <c r="A152" s="22">
        <v>46212</v>
      </c>
      <c r="B152" s="42" t="s">
        <v>272</v>
      </c>
      <c r="C152" s="42">
        <v>13797499185</v>
      </c>
      <c r="D152" s="23" t="s">
        <v>682</v>
      </c>
      <c r="H152" s="42">
        <v>1000</v>
      </c>
    </row>
    <row r="153" ht="24" customHeight="1" spans="1:9">
      <c r="A153" s="22">
        <v>46214</v>
      </c>
      <c r="B153" s="42" t="s">
        <v>347</v>
      </c>
      <c r="C153" s="42">
        <v>17671465669</v>
      </c>
      <c r="D153" s="42" t="s">
        <v>717</v>
      </c>
      <c r="E153" s="42" t="s">
        <v>718</v>
      </c>
      <c r="H153" s="42">
        <v>1500</v>
      </c>
    </row>
  </sheetData>
  <autoFilter xmlns:etc="http://www.wps.cn/officeDocument/2017/etCustomData" ref="A1:I153" etc:filterBottomFollowUsedRange="0">
    <extLst/>
  </autoFilter>
  <mergeCells count="13">
    <mergeCell ref="D1:G1"/>
    <mergeCell ref="A1:A2"/>
    <mergeCell ref="A83:A85"/>
    <mergeCell ref="B1:B2"/>
    <mergeCell ref="C1:C2"/>
    <mergeCell ref="D83:D85"/>
    <mergeCell ref="E83:E85"/>
    <mergeCell ref="F83:F85"/>
    <mergeCell ref="G83:G85"/>
    <mergeCell ref="H1:H2"/>
    <mergeCell ref="H83:H85"/>
    <mergeCell ref="I1:I2"/>
    <mergeCell ref="I83:I85"/>
  </mergeCells>
  <pageMargins left="0.75" right="0.75" top="1" bottom="1" header="0.5" footer="0.5"/>
  <pageSetup paperSize="9" orientation="portrait"/>
  <headerFooter/>
  <ignoredErrors>
    <ignoredError sqref="E50 C6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F1603"/>
  <sheetViews>
    <sheetView workbookViewId="0">
      <pane ySplit="2" topLeftCell="A1578" activePane="bottomLeft" state="frozen"/>
      <selection/>
      <selection pane="bottomLeft" activeCell="K53" sqref="K53"/>
    </sheetView>
  </sheetViews>
  <sheetFormatPr defaultColWidth="9" defaultRowHeight="20" customHeight="1"/>
  <cols>
    <col min="1" max="1" width="12.125" style="20" customWidth="1"/>
    <col min="2" max="2" width="12.375" style="20" customWidth="1"/>
    <col min="3" max="3" width="15.375" style="20" customWidth="1"/>
    <col min="4" max="4" width="12.625" style="20" hidden="1" customWidth="1"/>
    <col min="5" max="5" width="22.375" style="20" customWidth="1"/>
    <col min="6" max="6" width="10.375" style="20" customWidth="1"/>
  </cols>
  <sheetData>
    <row r="1" ht="30" customHeight="1" spans="1:6">
      <c r="A1" s="3" t="s">
        <v>719</v>
      </c>
      <c r="B1" s="3"/>
      <c r="C1" s="3"/>
      <c r="D1" s="3"/>
      <c r="E1" s="3"/>
      <c r="F1" s="3"/>
    </row>
    <row r="2" customHeight="1" spans="1:6">
      <c r="A2" s="21" t="s">
        <v>42</v>
      </c>
      <c r="B2" s="21" t="s">
        <v>414</v>
      </c>
      <c r="C2" s="21" t="s">
        <v>720</v>
      </c>
      <c r="D2" s="21" t="s">
        <v>721</v>
      </c>
      <c r="E2" s="21" t="s">
        <v>722</v>
      </c>
      <c r="F2" s="21" t="s">
        <v>723</v>
      </c>
    </row>
    <row r="3" customHeight="1" spans="1:6">
      <c r="A3" s="22">
        <v>45598</v>
      </c>
      <c r="B3" s="23" t="s">
        <v>724</v>
      </c>
      <c r="C3" s="23">
        <v>19180954170</v>
      </c>
      <c r="D3" s="23">
        <v>1300</v>
      </c>
      <c r="E3" s="23" t="s">
        <v>725</v>
      </c>
      <c r="F3" s="23">
        <v>2</v>
      </c>
    </row>
    <row r="4" customHeight="1" spans="1:6">
      <c r="A4" s="22">
        <v>45599</v>
      </c>
      <c r="B4" s="23" t="s">
        <v>726</v>
      </c>
      <c r="C4" s="23">
        <v>13227653280</v>
      </c>
      <c r="D4" s="23">
        <v>1840</v>
      </c>
      <c r="E4" s="23" t="s">
        <v>725</v>
      </c>
      <c r="F4" s="23">
        <v>2</v>
      </c>
    </row>
    <row r="5" customHeight="1" spans="1:6">
      <c r="A5" s="22">
        <v>45599</v>
      </c>
      <c r="B5" s="23" t="s">
        <v>727</v>
      </c>
      <c r="C5" s="23">
        <v>15279033613</v>
      </c>
      <c r="D5" s="23">
        <v>1099</v>
      </c>
      <c r="E5" s="23" t="s">
        <v>725</v>
      </c>
      <c r="F5" s="23">
        <v>2</v>
      </c>
    </row>
    <row r="6" customHeight="1" spans="1:6">
      <c r="A6" s="22">
        <v>45600</v>
      </c>
      <c r="B6" s="23" t="s">
        <v>728</v>
      </c>
      <c r="C6" s="23">
        <v>15722746022</v>
      </c>
      <c r="D6" s="23">
        <v>1099</v>
      </c>
      <c r="E6" s="23" t="s">
        <v>725</v>
      </c>
      <c r="F6" s="23">
        <v>2</v>
      </c>
    </row>
    <row r="7" customHeight="1" spans="1:6">
      <c r="A7" s="22">
        <v>45600</v>
      </c>
      <c r="B7" s="23" t="s">
        <v>729</v>
      </c>
      <c r="C7" s="23">
        <v>18256906149</v>
      </c>
      <c r="D7" s="23">
        <v>1299</v>
      </c>
      <c r="E7" s="23" t="s">
        <v>725</v>
      </c>
      <c r="F7" s="23">
        <v>2</v>
      </c>
    </row>
    <row r="8" customHeight="1" spans="1:6">
      <c r="A8" s="22">
        <v>45600</v>
      </c>
      <c r="B8" s="23" t="s">
        <v>730</v>
      </c>
      <c r="C8" s="23">
        <v>18347702202</v>
      </c>
      <c r="D8" s="23">
        <v>1200</v>
      </c>
      <c r="E8" s="23" t="s">
        <v>725</v>
      </c>
      <c r="F8" s="24">
        <v>2</v>
      </c>
    </row>
    <row r="9" customHeight="1" spans="1:6">
      <c r="A9" s="22">
        <v>45600</v>
      </c>
      <c r="B9" s="23" t="s">
        <v>731</v>
      </c>
      <c r="C9" s="23">
        <v>13251261567</v>
      </c>
      <c r="D9" s="23">
        <v>750</v>
      </c>
      <c r="E9" s="23" t="s">
        <v>732</v>
      </c>
      <c r="F9" s="24">
        <v>3</v>
      </c>
    </row>
    <row r="10" customHeight="1" spans="1:6">
      <c r="A10" s="22">
        <v>45600</v>
      </c>
      <c r="B10" s="23" t="s">
        <v>733</v>
      </c>
      <c r="C10" s="23">
        <v>15272294432</v>
      </c>
      <c r="D10" s="23">
        <v>400</v>
      </c>
      <c r="E10" s="23" t="s">
        <v>734</v>
      </c>
      <c r="F10" s="24">
        <v>3</v>
      </c>
    </row>
    <row r="11" customHeight="1" spans="1:6">
      <c r="A11" s="22">
        <v>45600</v>
      </c>
      <c r="B11" s="23" t="s">
        <v>735</v>
      </c>
      <c r="C11" s="23">
        <v>15690837586</v>
      </c>
      <c r="D11" s="23">
        <v>500</v>
      </c>
      <c r="E11" s="23" t="s">
        <v>725</v>
      </c>
      <c r="F11" s="24">
        <v>2</v>
      </c>
    </row>
    <row r="12" customHeight="1" spans="1:6">
      <c r="A12" s="22">
        <v>45600</v>
      </c>
      <c r="B12" s="23" t="s">
        <v>736</v>
      </c>
      <c r="C12" s="23">
        <v>15037588659</v>
      </c>
      <c r="D12" s="23">
        <v>500</v>
      </c>
      <c r="E12" s="23" t="s">
        <v>725</v>
      </c>
      <c r="F12" s="24">
        <v>2</v>
      </c>
    </row>
    <row r="13" customHeight="1" spans="1:6">
      <c r="A13" s="22">
        <v>45601</v>
      </c>
      <c r="B13" s="23" t="s">
        <v>737</v>
      </c>
      <c r="C13" s="23">
        <v>16671742287</v>
      </c>
      <c r="D13" s="23">
        <v>500</v>
      </c>
      <c r="E13" s="23" t="s">
        <v>725</v>
      </c>
      <c r="F13" s="24">
        <v>2</v>
      </c>
    </row>
    <row r="14" customHeight="1" spans="1:6">
      <c r="A14" s="22">
        <v>45601</v>
      </c>
      <c r="B14" s="23" t="s">
        <v>738</v>
      </c>
      <c r="C14" s="23">
        <v>15841692839</v>
      </c>
      <c r="D14" s="23">
        <v>600</v>
      </c>
      <c r="E14" s="23" t="s">
        <v>725</v>
      </c>
      <c r="F14" s="24">
        <v>2</v>
      </c>
    </row>
    <row r="15" customHeight="1" spans="1:6">
      <c r="A15" s="22">
        <v>45601</v>
      </c>
      <c r="B15" s="23" t="s">
        <v>739</v>
      </c>
      <c r="C15" s="23">
        <v>15296029535</v>
      </c>
      <c r="D15" s="23">
        <v>700</v>
      </c>
      <c r="E15" s="23" t="s">
        <v>732</v>
      </c>
      <c r="F15" s="24">
        <v>3</v>
      </c>
    </row>
    <row r="16" customHeight="1" spans="1:6">
      <c r="A16" s="22">
        <v>45601</v>
      </c>
      <c r="B16" s="23" t="s">
        <v>740</v>
      </c>
      <c r="C16" s="23">
        <v>18872798685</v>
      </c>
      <c r="D16" s="23">
        <v>1500</v>
      </c>
      <c r="E16" s="23" t="s">
        <v>725</v>
      </c>
      <c r="F16" s="24">
        <v>2</v>
      </c>
    </row>
    <row r="17" customHeight="1" spans="1:6">
      <c r="A17" s="22">
        <v>45602</v>
      </c>
      <c r="B17" s="23" t="s">
        <v>741</v>
      </c>
      <c r="C17" s="23">
        <v>17571066005</v>
      </c>
      <c r="D17" s="23">
        <v>800</v>
      </c>
      <c r="E17" s="23" t="s">
        <v>742</v>
      </c>
      <c r="F17" s="24">
        <v>1</v>
      </c>
    </row>
    <row r="18" customHeight="1" spans="1:6">
      <c r="A18" s="22">
        <v>45602</v>
      </c>
      <c r="B18" s="23" t="s">
        <v>743</v>
      </c>
      <c r="C18" s="25">
        <v>18327048639</v>
      </c>
      <c r="D18" s="23">
        <v>600</v>
      </c>
      <c r="E18" s="23" t="s">
        <v>742</v>
      </c>
      <c r="F18" s="24">
        <v>1</v>
      </c>
    </row>
    <row r="19" customHeight="1" spans="1:6">
      <c r="A19" s="22">
        <v>45604</v>
      </c>
      <c r="B19" s="23" t="s">
        <v>744</v>
      </c>
      <c r="C19" s="23">
        <v>19974535721</v>
      </c>
      <c r="D19" s="23">
        <v>1111</v>
      </c>
      <c r="E19" s="23" t="s">
        <v>745</v>
      </c>
      <c r="F19" s="24">
        <v>1</v>
      </c>
    </row>
    <row r="20" customHeight="1" spans="1:6">
      <c r="A20" s="22">
        <v>45604</v>
      </c>
      <c r="B20" s="23" t="s">
        <v>746</v>
      </c>
      <c r="C20" s="23">
        <v>13971641215</v>
      </c>
      <c r="D20" s="23">
        <v>1111</v>
      </c>
      <c r="E20" s="23" t="s">
        <v>747</v>
      </c>
      <c r="F20" s="24">
        <v>1</v>
      </c>
    </row>
    <row r="21" customHeight="1" spans="1:6">
      <c r="A21" s="22">
        <v>45604</v>
      </c>
      <c r="B21" s="23" t="s">
        <v>748</v>
      </c>
      <c r="C21" s="23">
        <v>18374999001</v>
      </c>
      <c r="D21" s="23">
        <v>700</v>
      </c>
      <c r="E21" s="23" t="s">
        <v>745</v>
      </c>
      <c r="F21" s="24">
        <v>1</v>
      </c>
    </row>
    <row r="22" customHeight="1" spans="1:6">
      <c r="A22" s="22">
        <v>45605</v>
      </c>
      <c r="B22" s="23" t="s">
        <v>749</v>
      </c>
      <c r="C22" s="23">
        <v>18827358804</v>
      </c>
      <c r="D22" s="23">
        <v>1100</v>
      </c>
      <c r="E22" s="23" t="s">
        <v>745</v>
      </c>
      <c r="F22" s="24">
        <v>1</v>
      </c>
    </row>
    <row r="23" customHeight="1" spans="1:6">
      <c r="A23" s="22">
        <v>45605</v>
      </c>
      <c r="B23" s="23" t="s">
        <v>750</v>
      </c>
      <c r="C23" s="23">
        <v>17634381786</v>
      </c>
      <c r="D23" s="23">
        <v>1111</v>
      </c>
      <c r="E23" s="23" t="s">
        <v>745</v>
      </c>
      <c r="F23" s="24">
        <v>1</v>
      </c>
    </row>
    <row r="24" customHeight="1" spans="1:6">
      <c r="A24" s="22">
        <v>45605</v>
      </c>
      <c r="B24" s="23" t="s">
        <v>751</v>
      </c>
      <c r="C24" s="23">
        <v>13037128002</v>
      </c>
      <c r="D24" s="23">
        <v>1111</v>
      </c>
      <c r="E24" s="23" t="s">
        <v>745</v>
      </c>
      <c r="F24" s="24">
        <v>1</v>
      </c>
    </row>
    <row r="25" customHeight="1" spans="1:6">
      <c r="A25" s="22">
        <v>45605</v>
      </c>
      <c r="B25" s="23" t="s">
        <v>752</v>
      </c>
      <c r="C25" s="23">
        <v>15028782831</v>
      </c>
      <c r="D25" s="23">
        <v>1111</v>
      </c>
      <c r="E25" s="23" t="s">
        <v>753</v>
      </c>
      <c r="F25" s="24">
        <v>1</v>
      </c>
    </row>
    <row r="26" customHeight="1" spans="1:6">
      <c r="A26" s="22">
        <v>45605</v>
      </c>
      <c r="B26" s="23" t="s">
        <v>754</v>
      </c>
      <c r="C26" s="23">
        <v>18936891570</v>
      </c>
      <c r="D26" s="23">
        <v>1100</v>
      </c>
      <c r="E26" s="23" t="s">
        <v>742</v>
      </c>
      <c r="F26" s="24">
        <v>1</v>
      </c>
    </row>
    <row r="27" customHeight="1" spans="1:6">
      <c r="A27" s="22">
        <v>45605</v>
      </c>
      <c r="B27" s="23" t="s">
        <v>755</v>
      </c>
      <c r="C27" s="25">
        <v>13782872077</v>
      </c>
      <c r="D27" s="23">
        <v>1100</v>
      </c>
      <c r="E27" s="23" t="s">
        <v>756</v>
      </c>
      <c r="F27" s="24">
        <v>1</v>
      </c>
    </row>
    <row r="28" customHeight="1" spans="1:6">
      <c r="A28" s="22">
        <v>45605</v>
      </c>
      <c r="B28" s="23" t="s">
        <v>757</v>
      </c>
      <c r="C28" s="23">
        <v>15171416215</v>
      </c>
      <c r="D28" s="23">
        <v>350</v>
      </c>
      <c r="E28" s="23" t="s">
        <v>758</v>
      </c>
      <c r="F28" s="24">
        <v>2</v>
      </c>
    </row>
    <row r="29" customHeight="1" spans="1:6">
      <c r="A29" s="22">
        <v>45605</v>
      </c>
      <c r="B29" s="23" t="s">
        <v>759</v>
      </c>
      <c r="C29" s="23">
        <v>13720230327</v>
      </c>
      <c r="D29" s="23">
        <v>1888</v>
      </c>
      <c r="E29" s="23" t="s">
        <v>760</v>
      </c>
      <c r="F29" s="24">
        <v>1</v>
      </c>
    </row>
    <row r="30" customHeight="1" spans="1:6">
      <c r="A30" s="22">
        <v>45605</v>
      </c>
      <c r="B30" s="23" t="s">
        <v>761</v>
      </c>
      <c r="C30" s="23">
        <v>19819991089</v>
      </c>
      <c r="D30" s="23">
        <v>600</v>
      </c>
      <c r="E30" s="23" t="s">
        <v>745</v>
      </c>
      <c r="F30" s="24">
        <v>1</v>
      </c>
    </row>
    <row r="31" customHeight="1" spans="1:6">
      <c r="A31" s="22">
        <v>45605</v>
      </c>
      <c r="B31" s="23" t="s">
        <v>762</v>
      </c>
      <c r="C31" s="23">
        <v>15754928985</v>
      </c>
      <c r="D31" s="23">
        <v>600</v>
      </c>
      <c r="E31" s="23" t="s">
        <v>763</v>
      </c>
      <c r="F31" s="24">
        <v>1</v>
      </c>
    </row>
    <row r="32" customHeight="1" spans="1:6">
      <c r="A32" s="22">
        <v>45605</v>
      </c>
      <c r="B32" s="23" t="s">
        <v>764</v>
      </c>
      <c r="C32" s="23">
        <v>15850522414</v>
      </c>
      <c r="D32" s="23">
        <v>1099</v>
      </c>
      <c r="E32" s="23" t="s">
        <v>763</v>
      </c>
      <c r="F32" s="24">
        <v>1</v>
      </c>
    </row>
    <row r="33" customHeight="1" spans="1:6">
      <c r="A33" s="22">
        <v>45605</v>
      </c>
      <c r="B33" s="23" t="s">
        <v>765</v>
      </c>
      <c r="C33" s="23">
        <v>1388603134</v>
      </c>
      <c r="D33" s="23">
        <v>800</v>
      </c>
      <c r="E33" s="23" t="s">
        <v>745</v>
      </c>
      <c r="F33" s="24">
        <v>1</v>
      </c>
    </row>
    <row r="34" customHeight="1" spans="1:6">
      <c r="A34" s="22">
        <v>45605</v>
      </c>
      <c r="B34" s="23" t="s">
        <v>766</v>
      </c>
      <c r="C34" s="23">
        <v>15623090185</v>
      </c>
      <c r="D34" s="23">
        <v>1100</v>
      </c>
      <c r="E34" s="23" t="s">
        <v>767</v>
      </c>
      <c r="F34" s="24"/>
    </row>
    <row r="35" customHeight="1" spans="1:6">
      <c r="A35" s="22">
        <v>45605</v>
      </c>
      <c r="B35" s="23" t="s">
        <v>768</v>
      </c>
      <c r="C35" s="23">
        <v>15533938515</v>
      </c>
      <c r="D35" s="23">
        <v>800</v>
      </c>
      <c r="E35" s="23" t="s">
        <v>769</v>
      </c>
      <c r="F35" s="24">
        <v>2</v>
      </c>
    </row>
    <row r="36" customHeight="1" spans="1:6">
      <c r="A36" s="22">
        <v>45605</v>
      </c>
      <c r="B36" s="23" t="s">
        <v>770</v>
      </c>
      <c r="C36" s="23">
        <v>15527950717</v>
      </c>
      <c r="D36" s="23">
        <v>800</v>
      </c>
      <c r="E36" s="23" t="s">
        <v>769</v>
      </c>
      <c r="F36" s="24">
        <v>2</v>
      </c>
    </row>
    <row r="37" customHeight="1" spans="1:6">
      <c r="A37" s="22">
        <v>45605</v>
      </c>
      <c r="B37" s="23" t="s">
        <v>771</v>
      </c>
      <c r="C37" s="23">
        <v>18607118123</v>
      </c>
      <c r="D37" s="23">
        <v>1100</v>
      </c>
      <c r="E37" s="23" t="s">
        <v>745</v>
      </c>
      <c r="F37" s="24">
        <v>1</v>
      </c>
    </row>
    <row r="38" customHeight="1" spans="1:6">
      <c r="A38" s="22">
        <v>45605</v>
      </c>
      <c r="B38" s="23" t="s">
        <v>772</v>
      </c>
      <c r="C38" s="23">
        <v>18997407591</v>
      </c>
      <c r="D38" s="23">
        <v>500</v>
      </c>
      <c r="E38" s="23" t="s">
        <v>773</v>
      </c>
      <c r="F38" s="24">
        <v>1</v>
      </c>
    </row>
    <row r="39" customHeight="1" spans="1:6">
      <c r="A39" s="22">
        <v>45605</v>
      </c>
      <c r="B39" s="23" t="s">
        <v>774</v>
      </c>
      <c r="C39" s="23">
        <v>18627860686</v>
      </c>
      <c r="D39" s="23">
        <v>1777</v>
      </c>
      <c r="E39" s="23" t="s">
        <v>745</v>
      </c>
      <c r="F39" s="24">
        <v>1</v>
      </c>
    </row>
    <row r="40" customHeight="1" spans="1:6">
      <c r="A40" s="22">
        <v>45605</v>
      </c>
      <c r="B40" s="23" t="s">
        <v>731</v>
      </c>
      <c r="C40" s="23">
        <v>13251261567</v>
      </c>
      <c r="D40" s="23">
        <v>750</v>
      </c>
      <c r="E40" s="23" t="s">
        <v>745</v>
      </c>
      <c r="F40" s="24">
        <v>1</v>
      </c>
    </row>
    <row r="41" customHeight="1" spans="1:6">
      <c r="A41" s="22">
        <v>45605</v>
      </c>
      <c r="B41" s="23" t="s">
        <v>775</v>
      </c>
      <c r="C41" s="23">
        <v>13971508564</v>
      </c>
      <c r="D41" s="23">
        <v>1111</v>
      </c>
      <c r="E41" s="23" t="s">
        <v>745</v>
      </c>
      <c r="F41" s="24">
        <v>1</v>
      </c>
    </row>
    <row r="42" customHeight="1" spans="1:6">
      <c r="A42" s="22">
        <v>45605</v>
      </c>
      <c r="B42" s="26" t="s">
        <v>776</v>
      </c>
      <c r="C42" s="26">
        <v>15927306906</v>
      </c>
      <c r="D42" s="23">
        <v>1111</v>
      </c>
      <c r="E42" s="23" t="s">
        <v>763</v>
      </c>
      <c r="F42" s="24">
        <v>1</v>
      </c>
    </row>
    <row r="43" customHeight="1" spans="1:6">
      <c r="A43" s="22">
        <v>45605</v>
      </c>
      <c r="B43" s="23" t="s">
        <v>733</v>
      </c>
      <c r="C43" s="23">
        <v>15272294432</v>
      </c>
      <c r="D43" s="23">
        <v>400</v>
      </c>
      <c r="E43" s="23" t="s">
        <v>760</v>
      </c>
      <c r="F43" s="24">
        <v>1</v>
      </c>
    </row>
    <row r="44" customHeight="1" spans="1:6">
      <c r="A44" s="22">
        <v>45605</v>
      </c>
      <c r="B44" s="23" t="s">
        <v>777</v>
      </c>
      <c r="C44" s="23">
        <v>18849218812</v>
      </c>
      <c r="D44" s="23">
        <v>400</v>
      </c>
      <c r="E44" s="23" t="s">
        <v>773</v>
      </c>
      <c r="F44" s="24">
        <v>1</v>
      </c>
    </row>
    <row r="45" customHeight="1" spans="1:6">
      <c r="A45" s="22">
        <v>45606</v>
      </c>
      <c r="B45" s="26" t="s">
        <v>778</v>
      </c>
      <c r="C45" s="26">
        <v>13673043407</v>
      </c>
      <c r="D45" s="23">
        <v>1111</v>
      </c>
      <c r="E45" s="23" t="s">
        <v>745</v>
      </c>
      <c r="F45" s="24">
        <v>1</v>
      </c>
    </row>
    <row r="46" customHeight="1" spans="1:6">
      <c r="A46" s="22">
        <v>45606</v>
      </c>
      <c r="B46" s="26" t="s">
        <v>779</v>
      </c>
      <c r="C46" s="26">
        <v>17387707507</v>
      </c>
      <c r="D46" s="23">
        <v>1599</v>
      </c>
      <c r="E46" s="23" t="s">
        <v>763</v>
      </c>
      <c r="F46" s="24">
        <v>1</v>
      </c>
    </row>
    <row r="47" customHeight="1" spans="1:6">
      <c r="A47" s="22">
        <v>45606</v>
      </c>
      <c r="B47" s="26" t="s">
        <v>486</v>
      </c>
      <c r="C47" s="26">
        <v>13971547428</v>
      </c>
      <c r="D47" s="23">
        <v>3580</v>
      </c>
      <c r="E47" s="23" t="s">
        <v>780</v>
      </c>
      <c r="F47" s="24">
        <v>2</v>
      </c>
    </row>
    <row r="48" customHeight="1" spans="1:6">
      <c r="A48" s="22">
        <v>45606</v>
      </c>
      <c r="B48" s="23" t="s">
        <v>781</v>
      </c>
      <c r="C48" s="27">
        <v>18541243718</v>
      </c>
      <c r="D48" s="23">
        <v>1300</v>
      </c>
      <c r="E48" s="23" t="s">
        <v>763</v>
      </c>
      <c r="F48" s="24">
        <v>1</v>
      </c>
    </row>
    <row r="49" customHeight="1" spans="1:6">
      <c r="A49" s="22">
        <v>45606</v>
      </c>
      <c r="B49" s="23" t="s">
        <v>782</v>
      </c>
      <c r="C49" s="23">
        <v>18850716834</v>
      </c>
      <c r="D49" s="23">
        <v>1099</v>
      </c>
      <c r="E49" s="23" t="s">
        <v>753</v>
      </c>
      <c r="F49" s="24">
        <v>1</v>
      </c>
    </row>
    <row r="50" customHeight="1" spans="1:6">
      <c r="A50" s="22">
        <v>45606</v>
      </c>
      <c r="B50" s="23" t="s">
        <v>783</v>
      </c>
      <c r="C50" s="23">
        <v>15872700980</v>
      </c>
      <c r="D50" s="23">
        <v>1099</v>
      </c>
      <c r="E50" s="23" t="s">
        <v>745</v>
      </c>
      <c r="F50" s="24">
        <v>1</v>
      </c>
    </row>
    <row r="51" customHeight="1" spans="1:6">
      <c r="A51" s="22">
        <v>45606</v>
      </c>
      <c r="B51" s="23" t="s">
        <v>784</v>
      </c>
      <c r="C51" s="23">
        <v>17702788608</v>
      </c>
      <c r="D51" s="23">
        <v>1499</v>
      </c>
      <c r="E51" s="23" t="s">
        <v>763</v>
      </c>
      <c r="F51" s="24">
        <v>1</v>
      </c>
    </row>
    <row r="52" customHeight="1" spans="1:6">
      <c r="A52" s="22">
        <v>45606</v>
      </c>
      <c r="B52" s="23" t="s">
        <v>785</v>
      </c>
      <c r="C52" s="23">
        <v>13947972407</v>
      </c>
      <c r="D52" s="23">
        <v>1800</v>
      </c>
      <c r="E52" s="23" t="s">
        <v>745</v>
      </c>
      <c r="F52" s="24">
        <v>1</v>
      </c>
    </row>
    <row r="53" customHeight="1" spans="1:6">
      <c r="A53" s="22">
        <v>45606</v>
      </c>
      <c r="B53" s="23" t="s">
        <v>786</v>
      </c>
      <c r="C53" s="25">
        <v>15386278853</v>
      </c>
      <c r="D53" s="23">
        <v>1499</v>
      </c>
      <c r="E53" s="23" t="s">
        <v>745</v>
      </c>
      <c r="F53" s="24">
        <v>1</v>
      </c>
    </row>
    <row r="54" customHeight="1" spans="1:6">
      <c r="A54" s="22">
        <v>45606</v>
      </c>
      <c r="B54" s="23" t="s">
        <v>787</v>
      </c>
      <c r="C54" s="23">
        <v>19195604559</v>
      </c>
      <c r="D54" s="23">
        <v>1499</v>
      </c>
      <c r="E54" s="23" t="s">
        <v>788</v>
      </c>
      <c r="F54" s="24">
        <v>1</v>
      </c>
    </row>
    <row r="55" customHeight="1" spans="1:6">
      <c r="A55" s="22">
        <v>45606</v>
      </c>
      <c r="B55" s="23" t="s">
        <v>789</v>
      </c>
      <c r="C55" s="23">
        <v>18120577668</v>
      </c>
      <c r="D55" s="23">
        <v>1111</v>
      </c>
      <c r="E55" s="23" t="s">
        <v>745</v>
      </c>
      <c r="F55" s="24">
        <v>1</v>
      </c>
    </row>
    <row r="56" customHeight="1" spans="1:6">
      <c r="A56" s="22">
        <v>45606</v>
      </c>
      <c r="B56" s="26" t="s">
        <v>790</v>
      </c>
      <c r="C56" s="26">
        <v>18986290343</v>
      </c>
      <c r="D56" s="23">
        <v>1490</v>
      </c>
      <c r="E56" s="23" t="s">
        <v>745</v>
      </c>
      <c r="F56" s="24">
        <v>1</v>
      </c>
    </row>
    <row r="57" customHeight="1" spans="1:6">
      <c r="A57" s="22">
        <v>45606</v>
      </c>
      <c r="B57" s="23" t="s">
        <v>791</v>
      </c>
      <c r="C57" s="23">
        <v>15807156080</v>
      </c>
      <c r="D57" s="23">
        <v>1490</v>
      </c>
      <c r="E57" s="23" t="s">
        <v>742</v>
      </c>
      <c r="F57" s="24">
        <v>1</v>
      </c>
    </row>
    <row r="58" customHeight="1" spans="1:6">
      <c r="A58" s="22">
        <v>45606</v>
      </c>
      <c r="B58" s="23" t="s">
        <v>792</v>
      </c>
      <c r="C58" s="23">
        <v>13982087432</v>
      </c>
      <c r="D58" s="23">
        <v>1499</v>
      </c>
      <c r="E58" s="23" t="s">
        <v>747</v>
      </c>
      <c r="F58" s="24">
        <v>1</v>
      </c>
    </row>
    <row r="59" customHeight="1" spans="1:6">
      <c r="A59" s="22">
        <v>45606</v>
      </c>
      <c r="B59" s="23" t="s">
        <v>793</v>
      </c>
      <c r="C59" s="25">
        <v>15972938961</v>
      </c>
      <c r="D59" s="23">
        <v>500</v>
      </c>
      <c r="E59" s="23" t="s">
        <v>763</v>
      </c>
      <c r="F59" s="24">
        <v>1</v>
      </c>
    </row>
    <row r="60" customHeight="1" spans="1:6">
      <c r="A60" s="22">
        <v>45606</v>
      </c>
      <c r="B60" s="23" t="s">
        <v>794</v>
      </c>
      <c r="C60" s="23">
        <v>13437177982</v>
      </c>
      <c r="D60" s="23">
        <v>500</v>
      </c>
      <c r="E60" s="23" t="s">
        <v>795</v>
      </c>
      <c r="F60" s="24">
        <v>1</v>
      </c>
    </row>
    <row r="61" customHeight="1" spans="1:6">
      <c r="A61" s="22">
        <v>45606</v>
      </c>
      <c r="B61" s="23" t="s">
        <v>796</v>
      </c>
      <c r="C61" s="23">
        <v>18328392928</v>
      </c>
      <c r="D61" s="23">
        <v>500</v>
      </c>
      <c r="E61" s="23" t="s">
        <v>797</v>
      </c>
      <c r="F61" s="24">
        <v>1</v>
      </c>
    </row>
    <row r="62" customHeight="1" spans="1:6">
      <c r="A62" s="22">
        <v>45606</v>
      </c>
      <c r="B62" s="23" t="s">
        <v>798</v>
      </c>
      <c r="C62" s="23">
        <v>15072295220</v>
      </c>
      <c r="D62" s="23">
        <v>500</v>
      </c>
      <c r="E62" s="23" t="s">
        <v>760</v>
      </c>
      <c r="F62" s="24">
        <v>1</v>
      </c>
    </row>
    <row r="63" customHeight="1" spans="1:6">
      <c r="A63" s="22">
        <v>45606</v>
      </c>
      <c r="B63" s="23" t="s">
        <v>799</v>
      </c>
      <c r="C63" s="23">
        <v>19105414287</v>
      </c>
      <c r="D63" s="23">
        <v>300</v>
      </c>
      <c r="E63" s="23" t="s">
        <v>800</v>
      </c>
      <c r="F63" s="24">
        <v>1</v>
      </c>
    </row>
    <row r="64" customHeight="1" spans="1:6">
      <c r="A64" s="22">
        <v>45606</v>
      </c>
      <c r="B64" s="23" t="s">
        <v>801</v>
      </c>
      <c r="C64" s="23">
        <v>13035105071</v>
      </c>
      <c r="D64" s="23">
        <v>1099</v>
      </c>
      <c r="E64" s="23" t="s">
        <v>742</v>
      </c>
      <c r="F64" s="24">
        <v>1</v>
      </c>
    </row>
    <row r="65" customHeight="1" spans="1:6">
      <c r="A65" s="22">
        <v>45606</v>
      </c>
      <c r="B65" s="26" t="s">
        <v>802</v>
      </c>
      <c r="C65" s="26">
        <v>15827590084</v>
      </c>
      <c r="D65" s="23">
        <v>1111</v>
      </c>
      <c r="E65" s="23" t="s">
        <v>745</v>
      </c>
      <c r="F65" s="24">
        <v>1</v>
      </c>
    </row>
    <row r="66" customHeight="1" spans="1:6">
      <c r="A66" s="22">
        <v>45606</v>
      </c>
      <c r="B66" s="26" t="s">
        <v>803</v>
      </c>
      <c r="C66" s="26">
        <v>13545079402</v>
      </c>
      <c r="D66" s="23">
        <v>4599</v>
      </c>
      <c r="E66" s="23" t="s">
        <v>760</v>
      </c>
      <c r="F66" s="24">
        <v>1</v>
      </c>
    </row>
    <row r="67" customHeight="1" spans="1:6">
      <c r="A67" s="22">
        <v>45606</v>
      </c>
      <c r="B67" s="23" t="s">
        <v>804</v>
      </c>
      <c r="C67" s="23">
        <v>15318062337</v>
      </c>
      <c r="D67" s="23">
        <v>1200</v>
      </c>
      <c r="E67" s="23" t="s">
        <v>805</v>
      </c>
      <c r="F67" s="24">
        <v>1</v>
      </c>
    </row>
    <row r="68" customHeight="1" spans="1:6">
      <c r="A68" s="22">
        <v>45606</v>
      </c>
      <c r="B68" s="23" t="s">
        <v>806</v>
      </c>
      <c r="C68" s="25">
        <v>15605501767</v>
      </c>
      <c r="D68" s="23">
        <v>1000</v>
      </c>
      <c r="E68" s="23" t="s">
        <v>760</v>
      </c>
      <c r="F68" s="24">
        <v>1</v>
      </c>
    </row>
    <row r="69" customHeight="1" spans="1:6">
      <c r="A69" s="22">
        <v>45607</v>
      </c>
      <c r="B69" s="23" t="s">
        <v>807</v>
      </c>
      <c r="C69" s="23">
        <v>18986154472</v>
      </c>
      <c r="D69" s="23">
        <v>1888</v>
      </c>
      <c r="E69" s="23" t="s">
        <v>808</v>
      </c>
      <c r="F69" s="24">
        <v>1</v>
      </c>
    </row>
    <row r="70" customHeight="1" spans="1:6">
      <c r="A70" s="22">
        <v>45607</v>
      </c>
      <c r="B70" s="23" t="s">
        <v>809</v>
      </c>
      <c r="C70" s="25">
        <v>18977400050</v>
      </c>
      <c r="D70" s="23">
        <v>650</v>
      </c>
      <c r="E70" s="23" t="s">
        <v>810</v>
      </c>
      <c r="F70" s="24">
        <v>1</v>
      </c>
    </row>
    <row r="71" customHeight="1" spans="1:6">
      <c r="A71" s="22">
        <v>45607</v>
      </c>
      <c r="B71" s="23" t="s">
        <v>811</v>
      </c>
      <c r="C71" s="25">
        <v>18978197892</v>
      </c>
      <c r="D71" s="23">
        <v>650</v>
      </c>
      <c r="E71" s="23" t="s">
        <v>800</v>
      </c>
      <c r="F71" s="24">
        <v>1</v>
      </c>
    </row>
    <row r="72" customHeight="1" spans="1:6">
      <c r="A72" s="22">
        <v>45607</v>
      </c>
      <c r="B72" s="26" t="s">
        <v>812</v>
      </c>
      <c r="C72" s="26">
        <v>18627183960</v>
      </c>
      <c r="D72" s="23">
        <v>1111</v>
      </c>
      <c r="E72" s="23" t="s">
        <v>745</v>
      </c>
      <c r="F72" s="24">
        <v>1</v>
      </c>
    </row>
    <row r="73" customHeight="1" spans="1:6">
      <c r="A73" s="22">
        <v>45607</v>
      </c>
      <c r="B73" s="26" t="s">
        <v>495</v>
      </c>
      <c r="C73" s="26">
        <v>13675691174</v>
      </c>
      <c r="D73" s="23">
        <v>1611</v>
      </c>
      <c r="E73" s="23" t="s">
        <v>813</v>
      </c>
      <c r="F73" s="24">
        <v>2</v>
      </c>
    </row>
    <row r="74" customHeight="1" spans="1:6">
      <c r="A74" s="22">
        <v>45607</v>
      </c>
      <c r="B74" s="26" t="s">
        <v>494</v>
      </c>
      <c r="C74" s="26">
        <v>18971529929</v>
      </c>
      <c r="D74" s="23">
        <v>1611</v>
      </c>
      <c r="E74" s="23" t="s">
        <v>814</v>
      </c>
      <c r="F74" s="24">
        <v>2</v>
      </c>
    </row>
    <row r="75" customHeight="1" spans="1:6">
      <c r="A75" s="22">
        <v>45607</v>
      </c>
      <c r="B75" s="26" t="s">
        <v>815</v>
      </c>
      <c r="C75" s="26">
        <v>13971616582</v>
      </c>
      <c r="D75" s="23">
        <v>1611</v>
      </c>
      <c r="E75" s="23" t="s">
        <v>814</v>
      </c>
      <c r="F75" s="24">
        <v>2</v>
      </c>
    </row>
    <row r="76" customHeight="1" spans="1:6">
      <c r="A76" s="22">
        <v>45607</v>
      </c>
      <c r="B76" s="26" t="s">
        <v>816</v>
      </c>
      <c r="C76" s="26">
        <v>18171335352</v>
      </c>
      <c r="D76" s="23">
        <v>1500</v>
      </c>
      <c r="E76" s="23" t="s">
        <v>817</v>
      </c>
      <c r="F76" s="24">
        <v>2</v>
      </c>
    </row>
    <row r="77" customHeight="1" spans="1:6">
      <c r="A77" s="22">
        <v>45607</v>
      </c>
      <c r="B77" s="26" t="s">
        <v>818</v>
      </c>
      <c r="C77" s="26">
        <v>13871338224</v>
      </c>
      <c r="D77" s="23">
        <v>1111</v>
      </c>
      <c r="E77" s="23" t="s">
        <v>763</v>
      </c>
      <c r="F77" s="24">
        <v>1</v>
      </c>
    </row>
    <row r="78" customHeight="1" spans="1:6">
      <c r="A78" s="22">
        <v>45607</v>
      </c>
      <c r="B78" s="26" t="s">
        <v>819</v>
      </c>
      <c r="C78" s="26">
        <v>15902751691</v>
      </c>
      <c r="D78" s="23">
        <v>1111</v>
      </c>
      <c r="E78" s="23" t="s">
        <v>800</v>
      </c>
      <c r="F78" s="24">
        <v>1</v>
      </c>
    </row>
    <row r="79" customHeight="1" spans="1:6">
      <c r="A79" s="22">
        <v>45607</v>
      </c>
      <c r="B79" s="23" t="s">
        <v>820</v>
      </c>
      <c r="C79" s="23">
        <v>15872407839</v>
      </c>
      <c r="D79" s="23">
        <v>1111</v>
      </c>
      <c r="E79" s="23" t="s">
        <v>800</v>
      </c>
      <c r="F79" s="24">
        <v>1</v>
      </c>
    </row>
    <row r="80" customHeight="1" spans="1:6">
      <c r="A80" s="22">
        <v>45607</v>
      </c>
      <c r="B80" s="23" t="s">
        <v>821</v>
      </c>
      <c r="C80" s="23">
        <v>13881150436</v>
      </c>
      <c r="D80" s="23">
        <v>7200</v>
      </c>
      <c r="E80" s="23" t="s">
        <v>822</v>
      </c>
      <c r="F80" s="24">
        <v>1</v>
      </c>
    </row>
    <row r="81" customHeight="1" spans="1:6">
      <c r="A81" s="22">
        <v>45607</v>
      </c>
      <c r="B81" s="23" t="s">
        <v>823</v>
      </c>
      <c r="C81" s="23">
        <v>13134911060</v>
      </c>
      <c r="D81" s="23">
        <v>1199</v>
      </c>
      <c r="E81" s="23" t="s">
        <v>747</v>
      </c>
      <c r="F81" s="24">
        <v>1</v>
      </c>
    </row>
    <row r="82" customHeight="1" spans="1:6">
      <c r="A82" s="22">
        <v>45607</v>
      </c>
      <c r="B82" s="23" t="s">
        <v>824</v>
      </c>
      <c r="C82" s="23">
        <v>19510197261</v>
      </c>
      <c r="D82" s="23">
        <v>1100</v>
      </c>
      <c r="E82" s="23" t="s">
        <v>763</v>
      </c>
      <c r="F82" s="24">
        <v>1</v>
      </c>
    </row>
    <row r="83" customHeight="1" spans="1:6">
      <c r="A83" s="22">
        <v>45607</v>
      </c>
      <c r="B83" s="23" t="s">
        <v>825</v>
      </c>
      <c r="C83" s="23">
        <v>15072876665</v>
      </c>
      <c r="D83" s="23">
        <v>2289</v>
      </c>
      <c r="E83" s="23" t="s">
        <v>826</v>
      </c>
      <c r="F83" s="24">
        <v>2</v>
      </c>
    </row>
    <row r="84" customHeight="1" spans="1:6">
      <c r="A84" s="22">
        <v>45607</v>
      </c>
      <c r="B84" s="23" t="s">
        <v>827</v>
      </c>
      <c r="C84" s="23">
        <v>17879604730</v>
      </c>
      <c r="D84" s="23">
        <v>1099</v>
      </c>
      <c r="E84" s="23" t="s">
        <v>795</v>
      </c>
      <c r="F84" s="24">
        <v>1</v>
      </c>
    </row>
    <row r="85" customHeight="1" spans="1:6">
      <c r="A85" s="22">
        <v>45607</v>
      </c>
      <c r="B85" s="23" t="s">
        <v>828</v>
      </c>
      <c r="C85" s="23">
        <v>18109539055</v>
      </c>
      <c r="D85" s="23">
        <v>1099</v>
      </c>
      <c r="E85" s="23" t="s">
        <v>829</v>
      </c>
      <c r="F85" s="24">
        <v>1</v>
      </c>
    </row>
    <row r="86" customHeight="1" spans="1:6">
      <c r="A86" s="22">
        <v>45607</v>
      </c>
      <c r="B86" s="26" t="s">
        <v>830</v>
      </c>
      <c r="C86" s="26">
        <v>13871051950</v>
      </c>
      <c r="D86" s="23">
        <v>1111</v>
      </c>
      <c r="E86" s="23" t="s">
        <v>831</v>
      </c>
      <c r="F86" s="24">
        <v>1</v>
      </c>
    </row>
    <row r="87" customHeight="1" spans="1:6">
      <c r="A87" s="22">
        <v>45607</v>
      </c>
      <c r="B87" s="23" t="s">
        <v>832</v>
      </c>
      <c r="C87" s="23">
        <v>13125002701</v>
      </c>
      <c r="D87" s="23">
        <v>1500</v>
      </c>
      <c r="E87" s="23" t="s">
        <v>795</v>
      </c>
      <c r="F87" s="24">
        <v>1</v>
      </c>
    </row>
    <row r="88" customHeight="1" spans="1:6">
      <c r="A88" s="22">
        <v>45608</v>
      </c>
      <c r="B88" s="23" t="s">
        <v>833</v>
      </c>
      <c r="C88" s="23">
        <v>18238461663</v>
      </c>
      <c r="D88" s="23">
        <v>500</v>
      </c>
      <c r="E88" s="23" t="s">
        <v>742</v>
      </c>
      <c r="F88" s="24">
        <v>1</v>
      </c>
    </row>
    <row r="89" customHeight="1" spans="1:6">
      <c r="A89" s="22">
        <v>45609</v>
      </c>
      <c r="B89" s="23" t="s">
        <v>834</v>
      </c>
      <c r="C89" s="23">
        <v>15337232912</v>
      </c>
      <c r="D89" s="23">
        <v>1111</v>
      </c>
      <c r="E89" s="23" t="s">
        <v>835</v>
      </c>
      <c r="F89" s="24">
        <v>1</v>
      </c>
    </row>
    <row r="90" customHeight="1" spans="1:6">
      <c r="A90" s="22">
        <v>45611</v>
      </c>
      <c r="B90" s="23" t="s">
        <v>752</v>
      </c>
      <c r="C90" s="23">
        <v>15028782831</v>
      </c>
      <c r="D90" s="23">
        <v>1111</v>
      </c>
      <c r="E90" s="23" t="s">
        <v>836</v>
      </c>
      <c r="F90" s="24">
        <v>2</v>
      </c>
    </row>
    <row r="91" customHeight="1" spans="1:6">
      <c r="A91" s="22">
        <v>45611</v>
      </c>
      <c r="B91" s="23" t="s">
        <v>837</v>
      </c>
      <c r="C91" s="23">
        <v>19971009346</v>
      </c>
      <c r="D91" s="23">
        <v>1099</v>
      </c>
      <c r="E91" s="23" t="s">
        <v>838</v>
      </c>
      <c r="F91" s="24">
        <v>1</v>
      </c>
    </row>
    <row r="92" customHeight="1" spans="1:6">
      <c r="A92" s="22">
        <v>45611</v>
      </c>
      <c r="B92" s="23" t="s">
        <v>839</v>
      </c>
      <c r="C92" s="23">
        <v>17602644695</v>
      </c>
      <c r="D92" s="23">
        <v>1000</v>
      </c>
      <c r="E92" s="23" t="s">
        <v>840</v>
      </c>
      <c r="F92" s="24">
        <v>2</v>
      </c>
    </row>
    <row r="93" customHeight="1" spans="1:6">
      <c r="A93" s="22">
        <v>45611</v>
      </c>
      <c r="B93" s="23" t="s">
        <v>841</v>
      </c>
      <c r="C93" s="23">
        <v>13469980322</v>
      </c>
      <c r="D93" s="23">
        <v>4680</v>
      </c>
      <c r="E93" s="23" t="s">
        <v>842</v>
      </c>
      <c r="F93" s="24">
        <v>2</v>
      </c>
    </row>
    <row r="94" customHeight="1" spans="1:6">
      <c r="A94" s="22">
        <v>45611</v>
      </c>
      <c r="B94" s="23" t="s">
        <v>770</v>
      </c>
      <c r="C94" s="23">
        <v>15527950717</v>
      </c>
      <c r="D94" s="23">
        <v>800</v>
      </c>
      <c r="E94" s="23" t="s">
        <v>843</v>
      </c>
      <c r="F94" s="24">
        <v>1</v>
      </c>
    </row>
    <row r="95" customHeight="1" spans="1:6">
      <c r="A95" s="22">
        <v>45613</v>
      </c>
      <c r="B95" s="23" t="s">
        <v>764</v>
      </c>
      <c r="C95" s="23">
        <v>15850522414</v>
      </c>
      <c r="D95" s="23">
        <v>1099</v>
      </c>
      <c r="E95" s="23" t="s">
        <v>843</v>
      </c>
      <c r="F95" s="24">
        <v>1</v>
      </c>
    </row>
    <row r="96" customHeight="1" spans="1:6">
      <c r="A96" s="22">
        <v>45614</v>
      </c>
      <c r="B96" s="23" t="s">
        <v>844</v>
      </c>
      <c r="C96" s="23">
        <v>15623798195</v>
      </c>
      <c r="D96" s="23">
        <v>910</v>
      </c>
      <c r="E96" s="23" t="s">
        <v>725</v>
      </c>
      <c r="F96" s="24">
        <v>2</v>
      </c>
    </row>
    <row r="97" customHeight="1" spans="1:6">
      <c r="A97" s="22">
        <v>45614</v>
      </c>
      <c r="B97" s="23" t="s">
        <v>845</v>
      </c>
      <c r="C97" s="23">
        <v>18271764161</v>
      </c>
      <c r="D97" s="23">
        <v>910</v>
      </c>
      <c r="E97" s="23" t="s">
        <v>725</v>
      </c>
      <c r="F97" s="24">
        <v>2</v>
      </c>
    </row>
    <row r="98" customHeight="1" spans="1:6">
      <c r="A98" s="22">
        <v>45614</v>
      </c>
      <c r="B98" s="23" t="s">
        <v>846</v>
      </c>
      <c r="C98" s="23">
        <v>15623335173</v>
      </c>
      <c r="D98" s="23">
        <v>1099</v>
      </c>
      <c r="E98" s="23" t="s">
        <v>725</v>
      </c>
      <c r="F98" s="24">
        <v>2</v>
      </c>
    </row>
    <row r="99" customHeight="1" spans="1:6">
      <c r="A99" s="22">
        <v>45614</v>
      </c>
      <c r="B99" s="23" t="s">
        <v>811</v>
      </c>
      <c r="C99" s="23">
        <v>18978197892</v>
      </c>
      <c r="D99" s="23">
        <v>650</v>
      </c>
      <c r="E99" s="23" t="s">
        <v>725</v>
      </c>
      <c r="F99" s="24">
        <v>2</v>
      </c>
    </row>
    <row r="100" customHeight="1" spans="1:6">
      <c r="A100" s="22">
        <v>45615</v>
      </c>
      <c r="B100" s="23" t="s">
        <v>847</v>
      </c>
      <c r="C100" s="23">
        <v>19571619697</v>
      </c>
      <c r="D100" s="23">
        <v>500</v>
      </c>
      <c r="E100" s="23" t="s">
        <v>848</v>
      </c>
      <c r="F100" s="24">
        <v>3</v>
      </c>
    </row>
    <row r="101" customHeight="1" spans="1:6">
      <c r="A101" s="22">
        <v>45616</v>
      </c>
      <c r="B101" s="23" t="s">
        <v>849</v>
      </c>
      <c r="C101" s="23">
        <v>13592603735</v>
      </c>
      <c r="D101" s="23">
        <v>799</v>
      </c>
      <c r="E101" s="23" t="s">
        <v>725</v>
      </c>
      <c r="F101" s="24">
        <v>2</v>
      </c>
    </row>
    <row r="102" customHeight="1" spans="1:6">
      <c r="A102" s="22">
        <v>45616</v>
      </c>
      <c r="B102" s="23" t="s">
        <v>850</v>
      </c>
      <c r="C102" s="23">
        <v>15342489181</v>
      </c>
      <c r="D102" s="23">
        <v>500</v>
      </c>
      <c r="E102" s="23" t="s">
        <v>725</v>
      </c>
      <c r="F102" s="24">
        <v>2</v>
      </c>
    </row>
    <row r="103" customHeight="1" spans="1:6">
      <c r="A103" s="22">
        <v>45617</v>
      </c>
      <c r="B103" s="23" t="s">
        <v>851</v>
      </c>
      <c r="C103" s="23">
        <v>17697340828</v>
      </c>
      <c r="D103" s="23">
        <v>799</v>
      </c>
      <c r="E103" s="23" t="s">
        <v>725</v>
      </c>
      <c r="F103" s="24">
        <v>2</v>
      </c>
    </row>
    <row r="104" customHeight="1" spans="1:6">
      <c r="A104" s="22">
        <v>45617</v>
      </c>
      <c r="B104" s="23" t="s">
        <v>852</v>
      </c>
      <c r="C104" s="23">
        <v>18877631735</v>
      </c>
      <c r="D104" s="23">
        <v>500</v>
      </c>
      <c r="E104" s="23" t="s">
        <v>725</v>
      </c>
      <c r="F104" s="24">
        <v>2</v>
      </c>
    </row>
    <row r="105" customHeight="1" spans="1:6">
      <c r="A105" s="22">
        <v>45617</v>
      </c>
      <c r="B105" s="23" t="s">
        <v>853</v>
      </c>
      <c r="C105" s="23">
        <v>18255700917</v>
      </c>
      <c r="D105" s="23">
        <v>500</v>
      </c>
      <c r="E105" s="23" t="s">
        <v>725</v>
      </c>
      <c r="F105" s="24">
        <v>2</v>
      </c>
    </row>
    <row r="106" customHeight="1" spans="1:6">
      <c r="A106" s="22">
        <v>45618</v>
      </c>
      <c r="B106" s="23" t="s">
        <v>854</v>
      </c>
      <c r="C106" s="23">
        <v>18174727816</v>
      </c>
      <c r="D106" s="23">
        <v>799</v>
      </c>
      <c r="E106" s="23" t="s">
        <v>725</v>
      </c>
      <c r="F106" s="24">
        <v>2</v>
      </c>
    </row>
    <row r="107" customHeight="1" spans="1:6">
      <c r="A107" s="22">
        <v>45619</v>
      </c>
      <c r="B107" s="23" t="s">
        <v>855</v>
      </c>
      <c r="C107" s="23">
        <v>13277031210</v>
      </c>
      <c r="D107" s="23">
        <v>1099</v>
      </c>
      <c r="E107" s="23" t="s">
        <v>725</v>
      </c>
      <c r="F107" s="24">
        <v>2</v>
      </c>
    </row>
    <row r="108" customHeight="1" spans="1:6">
      <c r="A108" s="22">
        <v>45619</v>
      </c>
      <c r="B108" s="23" t="s">
        <v>856</v>
      </c>
      <c r="C108" s="23">
        <v>13349915576</v>
      </c>
      <c r="D108" s="23">
        <v>1299</v>
      </c>
      <c r="E108" s="23" t="s">
        <v>857</v>
      </c>
      <c r="F108" s="24">
        <v>4</v>
      </c>
    </row>
    <row r="109" customHeight="1" spans="1:6">
      <c r="A109" s="22">
        <v>45621</v>
      </c>
      <c r="B109" s="23" t="s">
        <v>858</v>
      </c>
      <c r="C109" s="23">
        <v>15752107052</v>
      </c>
      <c r="D109" s="23">
        <v>700</v>
      </c>
      <c r="E109" s="23" t="s">
        <v>725</v>
      </c>
      <c r="F109" s="24">
        <v>2</v>
      </c>
    </row>
    <row r="110" customHeight="1" spans="1:6">
      <c r="A110" s="22">
        <v>45622</v>
      </c>
      <c r="B110" s="23" t="s">
        <v>859</v>
      </c>
      <c r="C110" s="23">
        <v>18827096501</v>
      </c>
      <c r="D110" s="23">
        <v>799</v>
      </c>
      <c r="E110" s="23" t="s">
        <v>725</v>
      </c>
      <c r="F110" s="24">
        <v>2</v>
      </c>
    </row>
    <row r="111" customHeight="1" spans="1:6">
      <c r="A111" s="22">
        <v>45624</v>
      </c>
      <c r="B111" s="23" t="s">
        <v>860</v>
      </c>
      <c r="C111" s="23"/>
      <c r="D111" s="23"/>
      <c r="E111" s="23" t="s">
        <v>861</v>
      </c>
      <c r="F111" s="24">
        <v>20</v>
      </c>
    </row>
    <row r="112" customHeight="1" spans="1:6">
      <c r="A112" s="22">
        <v>45624</v>
      </c>
      <c r="B112" s="23" t="s">
        <v>862</v>
      </c>
      <c r="C112" s="23">
        <v>17754403623</v>
      </c>
      <c r="D112" s="23">
        <v>500</v>
      </c>
      <c r="E112" s="23" t="s">
        <v>725</v>
      </c>
      <c r="F112" s="24">
        <v>2</v>
      </c>
    </row>
    <row r="113" customHeight="1" spans="1:6">
      <c r="A113" s="22">
        <v>45625</v>
      </c>
      <c r="B113" s="23" t="s">
        <v>863</v>
      </c>
      <c r="C113" s="23">
        <v>13296359922</v>
      </c>
      <c r="D113" s="23">
        <v>1099</v>
      </c>
      <c r="E113" s="23" t="s">
        <v>725</v>
      </c>
      <c r="F113" s="24">
        <v>2</v>
      </c>
    </row>
    <row r="114" customHeight="1" spans="1:6">
      <c r="A114" s="22">
        <v>45625</v>
      </c>
      <c r="B114" s="23" t="s">
        <v>864</v>
      </c>
      <c r="C114" s="23">
        <v>15307126592</v>
      </c>
      <c r="D114" s="23">
        <v>1600</v>
      </c>
      <c r="E114" s="23" t="s">
        <v>773</v>
      </c>
      <c r="F114" s="24">
        <v>1</v>
      </c>
    </row>
    <row r="115" customHeight="1" spans="1:6">
      <c r="A115" s="22">
        <v>45626</v>
      </c>
      <c r="B115" s="23" t="s">
        <v>865</v>
      </c>
      <c r="C115" s="23">
        <v>13477051132</v>
      </c>
      <c r="D115" s="23">
        <v>500</v>
      </c>
      <c r="E115" s="23" t="s">
        <v>725</v>
      </c>
      <c r="F115" s="24">
        <v>2</v>
      </c>
    </row>
    <row r="116" customHeight="1" spans="1:6">
      <c r="A116" s="22">
        <v>45627</v>
      </c>
      <c r="B116" s="23" t="s">
        <v>866</v>
      </c>
      <c r="C116" s="23">
        <v>18120266179</v>
      </c>
      <c r="D116" s="23">
        <v>149</v>
      </c>
      <c r="E116" s="23" t="s">
        <v>725</v>
      </c>
      <c r="F116" s="24">
        <v>1</v>
      </c>
    </row>
    <row r="117" customHeight="1" spans="1:6">
      <c r="A117" s="22">
        <v>45627</v>
      </c>
      <c r="B117" s="23" t="s">
        <v>768</v>
      </c>
      <c r="C117" s="23">
        <v>15533938515</v>
      </c>
      <c r="D117" s="23">
        <v>800</v>
      </c>
      <c r="E117" s="23" t="s">
        <v>867</v>
      </c>
      <c r="F117" s="24">
        <v>2</v>
      </c>
    </row>
    <row r="118" customHeight="1" spans="1:6">
      <c r="A118" s="22">
        <v>45628</v>
      </c>
      <c r="B118" s="23" t="s">
        <v>868</v>
      </c>
      <c r="C118" s="25">
        <v>17764009483</v>
      </c>
      <c r="D118" s="23">
        <v>500</v>
      </c>
      <c r="E118" s="23" t="s">
        <v>725</v>
      </c>
      <c r="F118" s="24">
        <v>2</v>
      </c>
    </row>
    <row r="119" customHeight="1" spans="1:6">
      <c r="A119" s="22">
        <v>45628</v>
      </c>
      <c r="B119" s="23" t="s">
        <v>869</v>
      </c>
      <c r="C119" s="23">
        <v>15926287362</v>
      </c>
      <c r="D119" s="23">
        <v>250</v>
      </c>
      <c r="E119" s="23" t="s">
        <v>725</v>
      </c>
      <c r="F119" s="24">
        <v>2</v>
      </c>
    </row>
    <row r="120" customHeight="1" spans="1:6">
      <c r="A120" s="22">
        <v>45628</v>
      </c>
      <c r="B120" s="23" t="s">
        <v>870</v>
      </c>
      <c r="C120" s="23">
        <v>19871827160</v>
      </c>
      <c r="D120" s="23">
        <v>250</v>
      </c>
      <c r="E120" s="23" t="s">
        <v>725</v>
      </c>
      <c r="F120" s="24">
        <v>2</v>
      </c>
    </row>
    <row r="121" customHeight="1" spans="1:6">
      <c r="A121" s="22">
        <v>45628</v>
      </c>
      <c r="B121" s="23" t="s">
        <v>871</v>
      </c>
      <c r="C121" s="23">
        <v>13554237230</v>
      </c>
      <c r="D121" s="23">
        <v>250</v>
      </c>
      <c r="E121" s="23" t="s">
        <v>725</v>
      </c>
      <c r="F121" s="24">
        <v>2</v>
      </c>
    </row>
    <row r="122" customHeight="1" spans="1:6">
      <c r="A122" s="22">
        <v>45628</v>
      </c>
      <c r="B122" s="23" t="s">
        <v>872</v>
      </c>
      <c r="C122" s="23">
        <v>13476628316</v>
      </c>
      <c r="D122" s="23">
        <v>500</v>
      </c>
      <c r="E122" s="23" t="s">
        <v>725</v>
      </c>
      <c r="F122" s="24">
        <v>2</v>
      </c>
    </row>
    <row r="123" customHeight="1" spans="1:6">
      <c r="A123" s="22">
        <v>45629</v>
      </c>
      <c r="B123" s="23" t="s">
        <v>873</v>
      </c>
      <c r="C123" s="23">
        <v>15629648710</v>
      </c>
      <c r="D123" s="23">
        <v>780</v>
      </c>
      <c r="E123" s="23" t="s">
        <v>725</v>
      </c>
      <c r="F123" s="24">
        <v>2</v>
      </c>
    </row>
    <row r="124" customHeight="1" spans="1:6">
      <c r="A124" s="22">
        <v>45629</v>
      </c>
      <c r="B124" s="23" t="s">
        <v>874</v>
      </c>
      <c r="C124" s="23">
        <v>15334137526</v>
      </c>
      <c r="D124" s="23">
        <v>500</v>
      </c>
      <c r="E124" s="23" t="s">
        <v>725</v>
      </c>
      <c r="F124" s="24">
        <v>2</v>
      </c>
    </row>
    <row r="125" customHeight="1" spans="1:6">
      <c r="A125" s="22">
        <v>45630</v>
      </c>
      <c r="B125" s="23" t="s">
        <v>875</v>
      </c>
      <c r="C125" s="23">
        <v>17395401602</v>
      </c>
      <c r="D125" s="23">
        <v>700</v>
      </c>
      <c r="E125" s="23" t="s">
        <v>876</v>
      </c>
      <c r="F125" s="24">
        <v>1</v>
      </c>
    </row>
    <row r="126" customHeight="1" spans="1:6">
      <c r="A126" s="22">
        <v>45630</v>
      </c>
      <c r="B126" s="23"/>
      <c r="C126" s="23">
        <v>13890605156</v>
      </c>
      <c r="D126" s="23"/>
      <c r="E126" s="23" t="s">
        <v>876</v>
      </c>
      <c r="F126" s="24">
        <v>1</v>
      </c>
    </row>
    <row r="127" customHeight="1" spans="1:6">
      <c r="A127" s="22">
        <v>45631</v>
      </c>
      <c r="B127" s="23" t="s">
        <v>877</v>
      </c>
      <c r="C127" s="23">
        <v>17280360486</v>
      </c>
      <c r="D127" s="23">
        <v>1299</v>
      </c>
      <c r="E127" s="23" t="s">
        <v>843</v>
      </c>
      <c r="F127" s="24">
        <v>1</v>
      </c>
    </row>
    <row r="128" customHeight="1" spans="1:6">
      <c r="A128" s="22">
        <v>45632</v>
      </c>
      <c r="B128" s="23" t="s">
        <v>878</v>
      </c>
      <c r="C128" s="23">
        <v>15810858806</v>
      </c>
      <c r="D128" s="23">
        <v>1200</v>
      </c>
      <c r="E128" s="23" t="s">
        <v>843</v>
      </c>
      <c r="F128" s="24">
        <v>1</v>
      </c>
    </row>
    <row r="129" customHeight="1" spans="1:6">
      <c r="A129" s="22">
        <v>45632</v>
      </c>
      <c r="B129" s="23" t="s">
        <v>879</v>
      </c>
      <c r="C129" s="23"/>
      <c r="D129" s="23"/>
      <c r="E129" s="23" t="s">
        <v>880</v>
      </c>
      <c r="F129" s="24"/>
    </row>
    <row r="130" customHeight="1" spans="1:6">
      <c r="A130" s="22">
        <v>45632</v>
      </c>
      <c r="B130" s="23" t="s">
        <v>879</v>
      </c>
      <c r="C130" s="23"/>
      <c r="D130" s="23"/>
      <c r="E130" s="23" t="s">
        <v>881</v>
      </c>
      <c r="F130" s="24"/>
    </row>
    <row r="131" customHeight="1" spans="1:6">
      <c r="A131" s="22">
        <v>45632</v>
      </c>
      <c r="B131" s="23" t="s">
        <v>879</v>
      </c>
      <c r="C131" s="23"/>
      <c r="D131" s="23"/>
      <c r="E131" s="23" t="s">
        <v>882</v>
      </c>
      <c r="F131" s="24"/>
    </row>
    <row r="132" customHeight="1" spans="1:6">
      <c r="A132" s="22">
        <v>45633</v>
      </c>
      <c r="B132" s="23" t="s">
        <v>883</v>
      </c>
      <c r="C132" s="23">
        <v>18007144725</v>
      </c>
      <c r="D132" s="23">
        <v>1212</v>
      </c>
      <c r="E132" s="23" t="s">
        <v>725</v>
      </c>
      <c r="F132" s="24">
        <v>2</v>
      </c>
    </row>
    <row r="133" customHeight="1" spans="1:6">
      <c r="A133" s="22">
        <v>45633</v>
      </c>
      <c r="B133" s="23" t="s">
        <v>884</v>
      </c>
      <c r="C133" s="23">
        <v>18830121633</v>
      </c>
      <c r="D133" s="23">
        <v>1500</v>
      </c>
      <c r="E133" s="23" t="s">
        <v>725</v>
      </c>
      <c r="F133" s="24">
        <v>2</v>
      </c>
    </row>
    <row r="134" customHeight="1" spans="1:6">
      <c r="A134" s="22">
        <v>45634</v>
      </c>
      <c r="B134" s="23" t="s">
        <v>885</v>
      </c>
      <c r="C134" s="23">
        <v>17852841739</v>
      </c>
      <c r="D134" s="23">
        <v>1099</v>
      </c>
      <c r="E134" s="23" t="s">
        <v>725</v>
      </c>
      <c r="F134" s="24">
        <v>2</v>
      </c>
    </row>
    <row r="135" customHeight="1" spans="1:6">
      <c r="A135" s="22">
        <v>45634</v>
      </c>
      <c r="B135" s="23" t="s">
        <v>886</v>
      </c>
      <c r="C135" s="23">
        <v>17689789130</v>
      </c>
      <c r="D135" s="23">
        <v>1299</v>
      </c>
      <c r="E135" s="23" t="s">
        <v>725</v>
      </c>
      <c r="F135" s="24">
        <v>2</v>
      </c>
    </row>
    <row r="136" customHeight="1" spans="1:6">
      <c r="A136" s="22">
        <v>45634</v>
      </c>
      <c r="B136" s="23" t="s">
        <v>887</v>
      </c>
      <c r="C136" s="23" t="s">
        <v>888</v>
      </c>
      <c r="D136" s="23"/>
      <c r="E136" s="23" t="s">
        <v>725</v>
      </c>
      <c r="F136" s="24">
        <v>2</v>
      </c>
    </row>
    <row r="137" customHeight="1" spans="1:6">
      <c r="A137" s="22">
        <v>45635</v>
      </c>
      <c r="B137" s="23" t="s">
        <v>889</v>
      </c>
      <c r="C137" s="23">
        <v>19945028250</v>
      </c>
      <c r="D137" s="23">
        <v>1499</v>
      </c>
      <c r="E137" s="23" t="s">
        <v>725</v>
      </c>
      <c r="F137" s="24">
        <v>2</v>
      </c>
    </row>
    <row r="138" customHeight="1" spans="1:6">
      <c r="A138" s="22">
        <v>45636</v>
      </c>
      <c r="B138" s="23" t="s">
        <v>890</v>
      </c>
      <c r="C138" s="23">
        <v>15723992024</v>
      </c>
      <c r="D138" s="23">
        <v>1399</v>
      </c>
      <c r="E138" s="23" t="s">
        <v>725</v>
      </c>
      <c r="F138" s="24">
        <v>2</v>
      </c>
    </row>
    <row r="139" customHeight="1" spans="1:6">
      <c r="A139" s="22">
        <v>45636</v>
      </c>
      <c r="B139" s="23" t="s">
        <v>891</v>
      </c>
      <c r="C139" s="23">
        <v>13955775950</v>
      </c>
      <c r="D139" s="23">
        <v>700</v>
      </c>
      <c r="E139" s="23" t="s">
        <v>725</v>
      </c>
      <c r="F139" s="24">
        <v>2</v>
      </c>
    </row>
    <row r="140" customHeight="1" spans="1:6">
      <c r="A140" s="22">
        <v>45637</v>
      </c>
      <c r="B140" s="23" t="s">
        <v>892</v>
      </c>
      <c r="C140" s="23">
        <v>15827067806</v>
      </c>
      <c r="D140" s="23">
        <v>1212</v>
      </c>
      <c r="E140" s="23" t="s">
        <v>745</v>
      </c>
      <c r="F140" s="24">
        <v>1</v>
      </c>
    </row>
    <row r="141" customHeight="1" spans="1:6">
      <c r="A141" s="22">
        <v>45637</v>
      </c>
      <c r="B141" s="23" t="s">
        <v>893</v>
      </c>
      <c r="C141" s="23">
        <v>15377575702</v>
      </c>
      <c r="D141" s="23">
        <v>251</v>
      </c>
      <c r="E141" s="23" t="s">
        <v>725</v>
      </c>
      <c r="F141" s="24">
        <v>2</v>
      </c>
    </row>
    <row r="142" customHeight="1" spans="1:6">
      <c r="A142" s="22">
        <v>45637</v>
      </c>
      <c r="B142" s="23" t="s">
        <v>536</v>
      </c>
      <c r="C142" s="23">
        <v>18571684464</v>
      </c>
      <c r="D142" s="23">
        <v>1212</v>
      </c>
      <c r="E142" s="23" t="s">
        <v>797</v>
      </c>
      <c r="F142" s="24">
        <v>1</v>
      </c>
    </row>
    <row r="143" customHeight="1" spans="1:6">
      <c r="A143" s="22">
        <v>45637</v>
      </c>
      <c r="B143" s="23" t="s">
        <v>894</v>
      </c>
      <c r="C143" s="23">
        <v>17866227037</v>
      </c>
      <c r="D143" s="23">
        <v>400</v>
      </c>
      <c r="E143" s="23" t="s">
        <v>725</v>
      </c>
      <c r="F143" s="24">
        <v>2</v>
      </c>
    </row>
    <row r="144" customHeight="1" spans="1:6">
      <c r="A144" s="22">
        <v>45637</v>
      </c>
      <c r="B144" s="23" t="s">
        <v>853</v>
      </c>
      <c r="C144" s="23">
        <v>18255700917</v>
      </c>
      <c r="D144" s="23">
        <v>500</v>
      </c>
      <c r="E144" s="23" t="s">
        <v>763</v>
      </c>
      <c r="F144" s="24">
        <v>1</v>
      </c>
    </row>
    <row r="145" customHeight="1" spans="1:6">
      <c r="A145" s="22">
        <v>45637</v>
      </c>
      <c r="B145" s="23" t="s">
        <v>895</v>
      </c>
      <c r="C145" s="23">
        <v>15527691939</v>
      </c>
      <c r="D145" s="23">
        <v>500</v>
      </c>
      <c r="E145" s="23" t="s">
        <v>763</v>
      </c>
      <c r="F145" s="24">
        <v>1</v>
      </c>
    </row>
    <row r="146" customHeight="1" spans="1:6">
      <c r="A146" s="22">
        <v>45637</v>
      </c>
      <c r="B146" s="23" t="s">
        <v>896</v>
      </c>
      <c r="C146" s="23">
        <v>18025302165</v>
      </c>
      <c r="D146" s="23">
        <v>1490</v>
      </c>
      <c r="E146" s="23" t="s">
        <v>810</v>
      </c>
      <c r="F146" s="24">
        <v>1</v>
      </c>
    </row>
    <row r="147" customHeight="1" spans="1:6">
      <c r="A147" s="22">
        <v>45638</v>
      </c>
      <c r="B147" s="23" t="s">
        <v>883</v>
      </c>
      <c r="C147" s="23">
        <v>18007144725</v>
      </c>
      <c r="D147" s="23">
        <v>1212</v>
      </c>
      <c r="E147" s="23" t="s">
        <v>810</v>
      </c>
      <c r="F147" s="24">
        <v>1</v>
      </c>
    </row>
    <row r="148" customHeight="1" spans="1:6">
      <c r="A148" s="22">
        <v>45638</v>
      </c>
      <c r="B148" s="23" t="s">
        <v>698</v>
      </c>
      <c r="C148" s="23">
        <v>13667224578</v>
      </c>
      <c r="D148" s="23">
        <v>1000</v>
      </c>
      <c r="E148" s="23" t="s">
        <v>763</v>
      </c>
      <c r="F148" s="24">
        <v>1</v>
      </c>
    </row>
    <row r="149" customHeight="1" spans="1:6">
      <c r="A149" s="22">
        <v>45638</v>
      </c>
      <c r="B149" s="23" t="s">
        <v>897</v>
      </c>
      <c r="C149" s="25">
        <v>13559083610</v>
      </c>
      <c r="D149" s="23">
        <v>500</v>
      </c>
      <c r="E149" s="23" t="s">
        <v>898</v>
      </c>
      <c r="F149" s="24">
        <v>1</v>
      </c>
    </row>
    <row r="150" customHeight="1" spans="1:6">
      <c r="A150" s="22">
        <v>45638</v>
      </c>
      <c r="B150" s="23" t="s">
        <v>899</v>
      </c>
      <c r="C150" s="25">
        <v>13027849025</v>
      </c>
      <c r="D150" s="23">
        <v>900</v>
      </c>
      <c r="E150" s="23" t="s">
        <v>745</v>
      </c>
      <c r="F150" s="24">
        <v>1</v>
      </c>
    </row>
    <row r="151" customHeight="1" spans="1:6">
      <c r="A151" s="22">
        <v>45638</v>
      </c>
      <c r="B151" s="23" t="s">
        <v>900</v>
      </c>
      <c r="C151" s="23">
        <v>18627899561</v>
      </c>
      <c r="D151" s="23">
        <v>1500</v>
      </c>
      <c r="E151" s="23" t="s">
        <v>898</v>
      </c>
      <c r="F151" s="24">
        <v>1</v>
      </c>
    </row>
    <row r="152" customHeight="1" spans="1:6">
      <c r="A152" s="22">
        <v>45638</v>
      </c>
      <c r="B152" s="23" t="s">
        <v>901</v>
      </c>
      <c r="C152" s="23">
        <v>19176527476</v>
      </c>
      <c r="D152" s="23">
        <v>1490</v>
      </c>
      <c r="E152" s="23" t="s">
        <v>745</v>
      </c>
      <c r="F152" s="24">
        <v>1</v>
      </c>
    </row>
    <row r="153" customHeight="1" spans="1:6">
      <c r="A153" s="22">
        <v>45638</v>
      </c>
      <c r="B153" s="23" t="s">
        <v>902</v>
      </c>
      <c r="C153" s="23">
        <v>18302787060</v>
      </c>
      <c r="D153" s="23">
        <v>1380</v>
      </c>
      <c r="E153" s="23" t="s">
        <v>876</v>
      </c>
      <c r="F153" s="24">
        <v>1</v>
      </c>
    </row>
    <row r="154" customHeight="1" spans="1:6">
      <c r="A154" s="22">
        <v>45638</v>
      </c>
      <c r="B154" s="23" t="s">
        <v>903</v>
      </c>
      <c r="C154" s="23">
        <v>13708200467</v>
      </c>
      <c r="D154" s="23">
        <v>1099</v>
      </c>
      <c r="E154" s="23" t="s">
        <v>904</v>
      </c>
      <c r="F154" s="24">
        <v>1</v>
      </c>
    </row>
    <row r="155" customHeight="1" spans="1:6">
      <c r="A155" s="22">
        <v>45639</v>
      </c>
      <c r="B155" s="23" t="s">
        <v>905</v>
      </c>
      <c r="C155" s="23">
        <v>18436096587</v>
      </c>
      <c r="D155" s="23">
        <v>799</v>
      </c>
      <c r="E155" s="23" t="s">
        <v>725</v>
      </c>
      <c r="F155" s="24">
        <v>2</v>
      </c>
    </row>
    <row r="156" customHeight="1" spans="1:6">
      <c r="A156" s="22">
        <v>45639</v>
      </c>
      <c r="B156" s="23" t="s">
        <v>906</v>
      </c>
      <c r="C156" s="23">
        <v>13429829698</v>
      </c>
      <c r="D156" s="23">
        <v>1500</v>
      </c>
      <c r="E156" s="23" t="s">
        <v>843</v>
      </c>
      <c r="F156" s="24">
        <v>1</v>
      </c>
    </row>
    <row r="157" customHeight="1" spans="1:6">
      <c r="A157" s="22">
        <v>45641</v>
      </c>
      <c r="B157" s="23" t="s">
        <v>907</v>
      </c>
      <c r="C157" s="23">
        <v>13307439664</v>
      </c>
      <c r="D157" s="23">
        <v>1100</v>
      </c>
      <c r="E157" s="23" t="s">
        <v>725</v>
      </c>
      <c r="F157" s="24">
        <v>2</v>
      </c>
    </row>
    <row r="158" customHeight="1" spans="1:6">
      <c r="A158" s="22">
        <v>45641</v>
      </c>
      <c r="B158" s="23" t="s">
        <v>908</v>
      </c>
      <c r="C158" s="23">
        <v>18776848163</v>
      </c>
      <c r="D158" s="23">
        <v>1100</v>
      </c>
      <c r="E158" s="23" t="s">
        <v>725</v>
      </c>
      <c r="F158" s="24">
        <v>2</v>
      </c>
    </row>
    <row r="159" customHeight="1" spans="1:6">
      <c r="A159" s="22">
        <v>45641</v>
      </c>
      <c r="B159" s="23" t="s">
        <v>909</v>
      </c>
      <c r="C159" s="23">
        <v>15307163384</v>
      </c>
      <c r="D159" s="23">
        <v>500</v>
      </c>
      <c r="E159" s="23" t="s">
        <v>769</v>
      </c>
      <c r="F159" s="24">
        <v>2</v>
      </c>
    </row>
    <row r="160" customHeight="1" spans="1:6">
      <c r="A160" s="22">
        <v>45641</v>
      </c>
      <c r="B160" s="23" t="s">
        <v>910</v>
      </c>
      <c r="C160" s="23">
        <v>15174849295</v>
      </c>
      <c r="D160" s="23">
        <v>1000</v>
      </c>
      <c r="E160" s="23" t="s">
        <v>742</v>
      </c>
      <c r="F160" s="24">
        <v>1</v>
      </c>
    </row>
    <row r="161" customHeight="1" spans="1:6">
      <c r="A161" s="22">
        <v>45642</v>
      </c>
      <c r="B161" s="23" t="s">
        <v>911</v>
      </c>
      <c r="C161" s="23">
        <v>18772510775</v>
      </c>
      <c r="D161" s="23">
        <v>149</v>
      </c>
      <c r="E161" s="23" t="s">
        <v>843</v>
      </c>
      <c r="F161" s="24">
        <v>1</v>
      </c>
    </row>
    <row r="162" customHeight="1" spans="1:6">
      <c r="A162" s="22">
        <v>45645</v>
      </c>
      <c r="B162" s="23" t="s">
        <v>912</v>
      </c>
      <c r="C162" s="23">
        <v>15273032066</v>
      </c>
      <c r="D162" s="23">
        <v>700</v>
      </c>
      <c r="E162" s="23" t="s">
        <v>742</v>
      </c>
      <c r="F162" s="24">
        <v>1</v>
      </c>
    </row>
    <row r="163" customHeight="1" spans="1:6">
      <c r="A163" s="22">
        <v>45646</v>
      </c>
      <c r="B163" s="23" t="s">
        <v>913</v>
      </c>
      <c r="C163" s="23">
        <v>13343588924</v>
      </c>
      <c r="D163" s="23">
        <v>1000</v>
      </c>
      <c r="E163" s="23" t="s">
        <v>742</v>
      </c>
      <c r="F163" s="24">
        <v>1</v>
      </c>
    </row>
    <row r="164" customHeight="1" spans="1:6">
      <c r="A164" s="22">
        <v>45646</v>
      </c>
      <c r="B164" s="23" t="s">
        <v>914</v>
      </c>
      <c r="C164" s="23">
        <v>15171218647</v>
      </c>
      <c r="D164" s="23">
        <v>200</v>
      </c>
      <c r="E164" s="23" t="s">
        <v>725</v>
      </c>
      <c r="F164" s="24">
        <v>2</v>
      </c>
    </row>
    <row r="165" customHeight="1" spans="1:6">
      <c r="A165" s="22">
        <v>45646</v>
      </c>
      <c r="B165" s="23" t="s">
        <v>915</v>
      </c>
      <c r="C165" s="23">
        <v>17363322060</v>
      </c>
      <c r="D165" s="23">
        <v>200</v>
      </c>
      <c r="E165" s="23" t="s">
        <v>725</v>
      </c>
      <c r="F165" s="24">
        <v>2</v>
      </c>
    </row>
    <row r="166" customHeight="1" spans="1:6">
      <c r="A166" s="22">
        <v>45648</v>
      </c>
      <c r="B166" s="23" t="s">
        <v>916</v>
      </c>
      <c r="C166" s="23">
        <v>15972563560</v>
      </c>
      <c r="D166" s="23">
        <v>730</v>
      </c>
      <c r="E166" s="23" t="s">
        <v>725</v>
      </c>
      <c r="F166" s="24">
        <v>2</v>
      </c>
    </row>
    <row r="167" customHeight="1" spans="1:6">
      <c r="A167" s="22">
        <v>45648</v>
      </c>
      <c r="B167" s="23" t="s">
        <v>917</v>
      </c>
      <c r="C167" s="23">
        <v>15972575360</v>
      </c>
      <c r="D167" s="23">
        <v>730</v>
      </c>
      <c r="E167" s="23" t="s">
        <v>725</v>
      </c>
      <c r="F167" s="24">
        <v>2</v>
      </c>
    </row>
    <row r="168" customHeight="1" spans="1:6">
      <c r="A168" s="22">
        <v>45649</v>
      </c>
      <c r="B168" s="23" t="s">
        <v>918</v>
      </c>
      <c r="C168" s="23">
        <v>17362494659</v>
      </c>
      <c r="D168" s="23">
        <v>599</v>
      </c>
      <c r="E168" s="23" t="s">
        <v>725</v>
      </c>
      <c r="F168" s="24">
        <v>2</v>
      </c>
    </row>
    <row r="169" customHeight="1" spans="1:6">
      <c r="A169" s="22">
        <v>45649</v>
      </c>
      <c r="B169" s="23" t="s">
        <v>919</v>
      </c>
      <c r="C169" s="23">
        <v>18086162946</v>
      </c>
      <c r="D169" s="23">
        <v>599</v>
      </c>
      <c r="E169" s="23" t="s">
        <v>725</v>
      </c>
      <c r="F169" s="24">
        <v>2</v>
      </c>
    </row>
    <row r="170" customHeight="1" spans="1:6">
      <c r="A170" s="22">
        <v>45649</v>
      </c>
      <c r="B170" s="23" t="s">
        <v>920</v>
      </c>
      <c r="C170" s="23">
        <v>18971459697</v>
      </c>
      <c r="D170" s="23">
        <v>1600</v>
      </c>
      <c r="E170" s="23" t="s">
        <v>725</v>
      </c>
      <c r="F170" s="24">
        <v>2</v>
      </c>
    </row>
    <row r="171" customHeight="1" spans="1:6">
      <c r="A171" s="22">
        <v>45649</v>
      </c>
      <c r="B171" s="23" t="s">
        <v>921</v>
      </c>
      <c r="C171" s="23">
        <v>18270430814</v>
      </c>
      <c r="D171" s="23">
        <v>1600</v>
      </c>
      <c r="E171" s="23" t="s">
        <v>725</v>
      </c>
      <c r="F171" s="24">
        <v>2</v>
      </c>
    </row>
    <row r="172" customHeight="1" spans="1:6">
      <c r="A172" s="22">
        <v>45649</v>
      </c>
      <c r="B172" s="23" t="s">
        <v>922</v>
      </c>
      <c r="C172" s="23">
        <v>15312299635</v>
      </c>
      <c r="D172" s="23">
        <v>399</v>
      </c>
      <c r="E172" s="23" t="s">
        <v>725</v>
      </c>
      <c r="F172" s="24">
        <v>2</v>
      </c>
    </row>
    <row r="173" customHeight="1" spans="1:6">
      <c r="A173" s="22">
        <v>45649</v>
      </c>
      <c r="B173" s="23" t="s">
        <v>923</v>
      </c>
      <c r="C173" s="23">
        <v>15527361907</v>
      </c>
      <c r="D173" s="23">
        <v>1500</v>
      </c>
      <c r="E173" s="23" t="s">
        <v>843</v>
      </c>
      <c r="F173" s="24">
        <v>1</v>
      </c>
    </row>
    <row r="174" customHeight="1" spans="1:6">
      <c r="A174" s="22">
        <v>45650</v>
      </c>
      <c r="B174" s="23" t="s">
        <v>924</v>
      </c>
      <c r="C174" s="23">
        <v>15072795955</v>
      </c>
      <c r="D174" s="23">
        <v>399</v>
      </c>
      <c r="E174" s="23" t="s">
        <v>836</v>
      </c>
      <c r="F174" s="24">
        <v>2</v>
      </c>
    </row>
    <row r="175" customHeight="1" spans="1:6">
      <c r="A175" s="22">
        <v>45650</v>
      </c>
      <c r="B175" s="23" t="s">
        <v>925</v>
      </c>
      <c r="C175" s="23">
        <v>13072702115</v>
      </c>
      <c r="D175" s="23">
        <v>1245</v>
      </c>
      <c r="E175" s="23" t="s">
        <v>725</v>
      </c>
      <c r="F175" s="24">
        <v>2</v>
      </c>
    </row>
    <row r="176" customHeight="1" spans="1:6">
      <c r="A176" s="22">
        <v>45650</v>
      </c>
      <c r="B176" s="23" t="s">
        <v>926</v>
      </c>
      <c r="C176" s="23">
        <v>18076582528</v>
      </c>
      <c r="D176" s="23">
        <v>1245</v>
      </c>
      <c r="E176" s="23" t="s">
        <v>725</v>
      </c>
      <c r="F176" s="24">
        <v>2</v>
      </c>
    </row>
    <row r="177" ht="21" customHeight="1" spans="1:6">
      <c r="A177" s="22">
        <v>45650</v>
      </c>
      <c r="B177" s="23" t="s">
        <v>927</v>
      </c>
      <c r="C177" s="23">
        <v>18652614757</v>
      </c>
      <c r="D177" s="23">
        <v>1245</v>
      </c>
      <c r="E177" s="23" t="s">
        <v>725</v>
      </c>
      <c r="F177" s="24">
        <v>2</v>
      </c>
    </row>
    <row r="178" ht="21" customHeight="1" spans="1:6">
      <c r="A178" s="22">
        <v>45650</v>
      </c>
      <c r="B178" s="23" t="s">
        <v>928</v>
      </c>
      <c r="C178" s="23">
        <v>17786034378</v>
      </c>
      <c r="D178" s="23">
        <v>1245</v>
      </c>
      <c r="E178" s="23" t="s">
        <v>725</v>
      </c>
      <c r="F178" s="24">
        <v>2</v>
      </c>
    </row>
    <row r="179" ht="21" customHeight="1" spans="1:6">
      <c r="A179" s="22">
        <v>45650</v>
      </c>
      <c r="B179" s="23" t="s">
        <v>929</v>
      </c>
      <c r="C179" s="23">
        <v>15007112824</v>
      </c>
      <c r="D179" s="23">
        <v>600</v>
      </c>
      <c r="E179" s="23" t="s">
        <v>753</v>
      </c>
      <c r="F179" s="24">
        <v>1</v>
      </c>
    </row>
    <row r="180" ht="21" customHeight="1" spans="1:6">
      <c r="A180" s="22">
        <v>45650</v>
      </c>
      <c r="B180" s="23" t="s">
        <v>930</v>
      </c>
      <c r="C180" s="23">
        <v>18829685662</v>
      </c>
      <c r="D180" s="23">
        <v>1099</v>
      </c>
      <c r="E180" s="23" t="s">
        <v>931</v>
      </c>
      <c r="F180" s="24">
        <v>2</v>
      </c>
    </row>
    <row r="181" ht="21" customHeight="1" spans="1:6">
      <c r="A181" s="22">
        <v>45655</v>
      </c>
      <c r="B181" s="23" t="s">
        <v>777</v>
      </c>
      <c r="C181" s="23">
        <v>18849218812</v>
      </c>
      <c r="D181" s="23">
        <v>400</v>
      </c>
      <c r="E181" s="23" t="s">
        <v>932</v>
      </c>
      <c r="F181" s="24">
        <v>3</v>
      </c>
    </row>
    <row r="182" ht="21" customHeight="1" spans="1:6">
      <c r="A182" s="22">
        <v>45655</v>
      </c>
      <c r="B182" s="23" t="s">
        <v>733</v>
      </c>
      <c r="C182" s="23">
        <v>15272294932</v>
      </c>
      <c r="D182" s="23">
        <v>400</v>
      </c>
      <c r="E182" s="23" t="s">
        <v>800</v>
      </c>
      <c r="F182" s="24">
        <v>1</v>
      </c>
    </row>
    <row r="183" ht="21" customHeight="1" spans="1:6">
      <c r="A183" s="22">
        <v>45658</v>
      </c>
      <c r="B183" s="23" t="s">
        <v>933</v>
      </c>
      <c r="C183" s="23">
        <v>18971254875</v>
      </c>
      <c r="D183" s="23">
        <v>1500</v>
      </c>
      <c r="E183" s="23" t="s">
        <v>843</v>
      </c>
      <c r="F183" s="24">
        <v>1</v>
      </c>
    </row>
    <row r="184" ht="21" customHeight="1" spans="1:6">
      <c r="A184" s="22">
        <v>45676</v>
      </c>
      <c r="B184" s="23" t="s">
        <v>934</v>
      </c>
      <c r="C184" s="23" t="s">
        <v>935</v>
      </c>
      <c r="D184" s="23"/>
      <c r="E184" s="23" t="s">
        <v>936</v>
      </c>
      <c r="F184" s="24">
        <v>6</v>
      </c>
    </row>
    <row r="185" ht="21" customHeight="1" spans="1:6">
      <c r="A185" s="22">
        <v>45667</v>
      </c>
      <c r="B185" s="23" t="s">
        <v>937</v>
      </c>
      <c r="C185" s="23">
        <v>15884437838</v>
      </c>
      <c r="D185" s="23">
        <v>399</v>
      </c>
      <c r="E185" s="23" t="s">
        <v>938</v>
      </c>
      <c r="F185" s="24">
        <v>2</v>
      </c>
    </row>
    <row r="186" ht="21" customHeight="1" spans="1:6">
      <c r="A186" s="22">
        <v>45694</v>
      </c>
      <c r="B186" s="23" t="s">
        <v>939</v>
      </c>
      <c r="C186" s="23">
        <v>18402742420</v>
      </c>
      <c r="D186" s="23">
        <v>1000</v>
      </c>
      <c r="E186" s="23" t="s">
        <v>940</v>
      </c>
      <c r="F186" s="24">
        <v>1</v>
      </c>
    </row>
    <row r="187" ht="21" customHeight="1" spans="1:6">
      <c r="A187" s="22">
        <v>45695</v>
      </c>
      <c r="B187" s="23" t="s">
        <v>941</v>
      </c>
      <c r="C187" s="23">
        <v>18229601468</v>
      </c>
      <c r="D187" s="23">
        <v>800</v>
      </c>
      <c r="E187" s="23" t="s">
        <v>942</v>
      </c>
      <c r="F187" s="24">
        <v>1</v>
      </c>
    </row>
    <row r="188" ht="21" customHeight="1" spans="1:6">
      <c r="A188" s="22">
        <v>45695</v>
      </c>
      <c r="B188" s="23" t="s">
        <v>943</v>
      </c>
      <c r="C188" s="23">
        <v>18402744420</v>
      </c>
      <c r="D188" s="23"/>
      <c r="E188" s="23" t="s">
        <v>725</v>
      </c>
      <c r="F188" s="24">
        <v>2</v>
      </c>
    </row>
    <row r="189" ht="21" customHeight="1" spans="1:6">
      <c r="A189" s="22">
        <v>45696</v>
      </c>
      <c r="B189" s="23" t="s">
        <v>944</v>
      </c>
      <c r="C189" s="23">
        <v>18571515186</v>
      </c>
      <c r="D189" s="23">
        <v>1499</v>
      </c>
      <c r="E189" s="23" t="s">
        <v>940</v>
      </c>
      <c r="F189" s="24">
        <v>1</v>
      </c>
    </row>
    <row r="190" ht="21" customHeight="1" spans="1:6">
      <c r="A190" s="22">
        <v>45697</v>
      </c>
      <c r="B190" s="23" t="s">
        <v>945</v>
      </c>
      <c r="C190" s="23">
        <v>15623893558</v>
      </c>
      <c r="D190" s="23">
        <v>1299</v>
      </c>
      <c r="E190" s="23" t="s">
        <v>747</v>
      </c>
      <c r="F190" s="24">
        <v>1</v>
      </c>
    </row>
    <row r="191" ht="21" customHeight="1" spans="1:6">
      <c r="A191" s="22">
        <v>45697</v>
      </c>
      <c r="B191" s="23" t="s">
        <v>946</v>
      </c>
      <c r="C191" s="23">
        <v>13559055226</v>
      </c>
      <c r="D191" s="23">
        <v>1100</v>
      </c>
      <c r="E191" s="23" t="s">
        <v>805</v>
      </c>
      <c r="F191" s="24">
        <v>1</v>
      </c>
    </row>
    <row r="192" ht="21" customHeight="1" spans="1:6">
      <c r="A192" s="22">
        <v>45698</v>
      </c>
      <c r="B192" s="23" t="s">
        <v>947</v>
      </c>
      <c r="C192" s="23">
        <v>17764220631</v>
      </c>
      <c r="D192" s="23">
        <v>600</v>
      </c>
      <c r="E192" s="23" t="s">
        <v>753</v>
      </c>
      <c r="F192" s="24">
        <v>1</v>
      </c>
    </row>
    <row r="193" ht="21" customHeight="1" spans="1:6">
      <c r="A193" s="22">
        <v>45698</v>
      </c>
      <c r="B193" s="23" t="s">
        <v>948</v>
      </c>
      <c r="C193" s="23">
        <v>15927700351</v>
      </c>
      <c r="D193" s="23">
        <v>1500</v>
      </c>
      <c r="E193" s="23" t="s">
        <v>949</v>
      </c>
      <c r="F193" s="24">
        <v>1</v>
      </c>
    </row>
    <row r="194" ht="21" customHeight="1" spans="1:6">
      <c r="A194" s="22">
        <v>45699</v>
      </c>
      <c r="B194" s="23" t="s">
        <v>950</v>
      </c>
      <c r="C194" s="23">
        <v>18086663119</v>
      </c>
      <c r="D194" s="23">
        <v>600</v>
      </c>
      <c r="E194" s="23" t="s">
        <v>742</v>
      </c>
      <c r="F194" s="24">
        <v>1</v>
      </c>
    </row>
    <row r="195" ht="21" customHeight="1" spans="1:6">
      <c r="A195" s="22">
        <v>45699</v>
      </c>
      <c r="B195" s="23" t="s">
        <v>951</v>
      </c>
      <c r="C195" s="23">
        <v>13118038417</v>
      </c>
      <c r="D195" s="23">
        <v>800</v>
      </c>
      <c r="E195" s="23" t="s">
        <v>800</v>
      </c>
      <c r="F195" s="24">
        <v>1</v>
      </c>
    </row>
    <row r="196" ht="21" customHeight="1" spans="1:6">
      <c r="A196" s="22">
        <v>45699</v>
      </c>
      <c r="B196" s="23" t="s">
        <v>952</v>
      </c>
      <c r="C196" s="23">
        <v>17671054576</v>
      </c>
      <c r="D196" s="23">
        <v>1299</v>
      </c>
      <c r="E196" s="23" t="s">
        <v>800</v>
      </c>
      <c r="F196" s="24">
        <v>1</v>
      </c>
    </row>
    <row r="197" ht="21" customHeight="1" spans="1:6">
      <c r="A197" s="22">
        <v>45699</v>
      </c>
      <c r="B197" s="23" t="s">
        <v>953</v>
      </c>
      <c r="C197" s="23">
        <v>13797226482</v>
      </c>
      <c r="D197" s="23">
        <v>600</v>
      </c>
      <c r="E197" s="23" t="s">
        <v>753</v>
      </c>
      <c r="F197" s="24">
        <v>1</v>
      </c>
    </row>
    <row r="198" ht="21" customHeight="1" spans="1:6">
      <c r="A198" s="22">
        <v>45699</v>
      </c>
      <c r="B198" s="23" t="s">
        <v>954</v>
      </c>
      <c r="C198" s="23">
        <v>18771003583</v>
      </c>
      <c r="D198" s="23">
        <v>1599</v>
      </c>
      <c r="E198" s="23" t="s">
        <v>805</v>
      </c>
      <c r="F198" s="24">
        <v>1</v>
      </c>
    </row>
    <row r="199" ht="30" customHeight="1" spans="1:6">
      <c r="A199" s="22">
        <v>45700</v>
      </c>
      <c r="B199" s="25" t="s">
        <v>955</v>
      </c>
      <c r="C199" s="25" t="s">
        <v>956</v>
      </c>
      <c r="D199" s="23">
        <v>2998</v>
      </c>
      <c r="E199" s="23" t="s">
        <v>957</v>
      </c>
      <c r="F199" s="24">
        <v>2</v>
      </c>
    </row>
    <row r="200" customHeight="1" spans="1:6">
      <c r="A200" s="22">
        <v>45701</v>
      </c>
      <c r="B200" s="23" t="s">
        <v>958</v>
      </c>
      <c r="C200" s="23">
        <v>18995605787</v>
      </c>
      <c r="D200" s="23">
        <v>1600</v>
      </c>
      <c r="E200" s="23" t="s">
        <v>800</v>
      </c>
      <c r="F200" s="24">
        <v>1</v>
      </c>
    </row>
    <row r="201" customHeight="1" spans="1:6">
      <c r="A201" s="22">
        <v>45701</v>
      </c>
      <c r="B201" s="23" t="s">
        <v>959</v>
      </c>
      <c r="C201" s="23">
        <v>1322733076</v>
      </c>
      <c r="D201" s="23">
        <v>1431</v>
      </c>
      <c r="E201" s="23" t="s">
        <v>960</v>
      </c>
      <c r="F201" s="24">
        <v>1</v>
      </c>
    </row>
    <row r="202" customHeight="1" spans="1:6">
      <c r="A202" s="22">
        <v>45700</v>
      </c>
      <c r="B202" s="23" t="s">
        <v>961</v>
      </c>
      <c r="C202" s="23">
        <v>15926809020</v>
      </c>
      <c r="D202" s="23">
        <v>499</v>
      </c>
      <c r="E202" s="23" t="s">
        <v>962</v>
      </c>
      <c r="F202" s="24">
        <v>1</v>
      </c>
    </row>
    <row r="203" customHeight="1" spans="1:6">
      <c r="A203" s="22">
        <v>45702</v>
      </c>
      <c r="B203" s="23" t="s">
        <v>963</v>
      </c>
      <c r="C203" s="23">
        <v>18186279579</v>
      </c>
      <c r="D203" s="23">
        <v>1000</v>
      </c>
      <c r="E203" s="23" t="s">
        <v>964</v>
      </c>
      <c r="F203" s="24">
        <v>3</v>
      </c>
    </row>
    <row r="204" customHeight="1" spans="1:6">
      <c r="A204" s="22">
        <v>45702</v>
      </c>
      <c r="B204" s="23" t="s">
        <v>965</v>
      </c>
      <c r="C204" s="23">
        <v>18995629679</v>
      </c>
      <c r="D204" s="23">
        <v>1117</v>
      </c>
      <c r="E204" s="23" t="s">
        <v>966</v>
      </c>
      <c r="F204" s="24">
        <v>3</v>
      </c>
    </row>
    <row r="205" customHeight="1" spans="1:6">
      <c r="A205" s="22">
        <v>45702</v>
      </c>
      <c r="B205" s="23" t="s">
        <v>967</v>
      </c>
      <c r="C205" s="23">
        <v>15827223140</v>
      </c>
      <c r="D205" s="23">
        <v>888</v>
      </c>
      <c r="E205" s="23" t="s">
        <v>968</v>
      </c>
      <c r="F205" s="24">
        <v>1</v>
      </c>
    </row>
    <row r="206" customHeight="1" spans="1:6">
      <c r="A206" s="22">
        <v>45702</v>
      </c>
      <c r="B206" s="23" t="s">
        <v>969</v>
      </c>
      <c r="C206" s="23">
        <v>13696793585</v>
      </c>
      <c r="D206" s="23">
        <v>900</v>
      </c>
      <c r="E206" s="23" t="s">
        <v>753</v>
      </c>
      <c r="F206" s="24">
        <v>1</v>
      </c>
    </row>
    <row r="207" customHeight="1" spans="1:6">
      <c r="A207" s="22">
        <v>45702</v>
      </c>
      <c r="B207" s="23" t="s">
        <v>970</v>
      </c>
      <c r="C207" s="23">
        <v>13367142249</v>
      </c>
      <c r="D207" s="23">
        <v>1499</v>
      </c>
      <c r="E207" s="23" t="s">
        <v>971</v>
      </c>
      <c r="F207" s="24">
        <v>3</v>
      </c>
    </row>
    <row r="208" customHeight="1" spans="1:6">
      <c r="A208" s="22">
        <v>45702</v>
      </c>
      <c r="B208" s="23" t="s">
        <v>972</v>
      </c>
      <c r="C208" s="23">
        <v>18169031213</v>
      </c>
      <c r="D208" s="23">
        <v>1000</v>
      </c>
      <c r="E208" s="23" t="s">
        <v>940</v>
      </c>
      <c r="F208" s="24">
        <v>1</v>
      </c>
    </row>
    <row r="209" customHeight="1" spans="1:6">
      <c r="A209" s="22">
        <v>45702</v>
      </c>
      <c r="B209" s="23" t="s">
        <v>973</v>
      </c>
      <c r="C209" s="23">
        <v>18147164109</v>
      </c>
      <c r="D209" s="23">
        <v>1000</v>
      </c>
      <c r="E209" s="23" t="s">
        <v>974</v>
      </c>
      <c r="F209" s="24">
        <v>1</v>
      </c>
    </row>
    <row r="210" customHeight="1" spans="1:6">
      <c r="A210" s="22">
        <v>45702</v>
      </c>
      <c r="B210" s="23" t="s">
        <v>975</v>
      </c>
      <c r="C210" s="23">
        <v>15071517987</v>
      </c>
      <c r="D210" s="23"/>
      <c r="E210" s="23" t="s">
        <v>976</v>
      </c>
      <c r="F210" s="24">
        <v>3</v>
      </c>
    </row>
    <row r="211" customHeight="1" spans="1:6">
      <c r="A211" s="22">
        <v>45702</v>
      </c>
      <c r="B211" s="23" t="s">
        <v>977</v>
      </c>
      <c r="C211" s="23">
        <v>19078908919</v>
      </c>
      <c r="D211" s="23"/>
      <c r="E211" s="23" t="s">
        <v>978</v>
      </c>
      <c r="F211" s="24">
        <v>2</v>
      </c>
    </row>
    <row r="212" customHeight="1" spans="1:6">
      <c r="A212" s="22">
        <v>45703</v>
      </c>
      <c r="B212" s="23" t="s">
        <v>952</v>
      </c>
      <c r="C212" s="23">
        <v>17671054576</v>
      </c>
      <c r="D212" s="23">
        <v>1299</v>
      </c>
      <c r="E212" s="23" t="s">
        <v>843</v>
      </c>
      <c r="F212" s="24">
        <v>1</v>
      </c>
    </row>
    <row r="213" customHeight="1" spans="1:6">
      <c r="A213" s="22">
        <v>45703</v>
      </c>
      <c r="B213" s="23" t="s">
        <v>979</v>
      </c>
      <c r="C213" s="23">
        <v>13328558295</v>
      </c>
      <c r="D213" s="23">
        <v>499</v>
      </c>
      <c r="E213" s="23" t="s">
        <v>980</v>
      </c>
      <c r="F213" s="24">
        <v>1</v>
      </c>
    </row>
    <row r="214" customHeight="1" spans="1:6">
      <c r="A214" s="22">
        <v>45703</v>
      </c>
      <c r="B214" s="23" t="s">
        <v>981</v>
      </c>
      <c r="C214" s="23">
        <v>17839516786</v>
      </c>
      <c r="D214" s="23"/>
      <c r="E214" s="23" t="s">
        <v>800</v>
      </c>
      <c r="F214" s="24">
        <v>1</v>
      </c>
    </row>
    <row r="215" customHeight="1" spans="1:6">
      <c r="A215" s="22">
        <v>45703</v>
      </c>
      <c r="B215" s="23" t="s">
        <v>982</v>
      </c>
      <c r="C215" s="23">
        <v>17839516786</v>
      </c>
      <c r="D215" s="23"/>
      <c r="E215" s="23" t="s">
        <v>983</v>
      </c>
      <c r="F215" s="24">
        <v>1</v>
      </c>
    </row>
    <row r="216" customHeight="1" spans="1:6">
      <c r="A216" s="22">
        <v>45703</v>
      </c>
      <c r="B216" s="23" t="s">
        <v>984</v>
      </c>
      <c r="C216" s="23"/>
      <c r="D216" s="23"/>
      <c r="E216" s="23" t="s">
        <v>983</v>
      </c>
      <c r="F216" s="23">
        <v>1</v>
      </c>
    </row>
    <row r="217" customHeight="1" spans="1:6">
      <c r="A217" s="22">
        <v>45703</v>
      </c>
      <c r="B217" s="23" t="s">
        <v>985</v>
      </c>
      <c r="C217" s="23">
        <v>19972820616</v>
      </c>
      <c r="D217" s="23"/>
      <c r="E217" s="23" t="s">
        <v>986</v>
      </c>
      <c r="F217" s="23">
        <v>3</v>
      </c>
    </row>
    <row r="218" customHeight="1" spans="1:6">
      <c r="A218" s="22">
        <v>45703</v>
      </c>
      <c r="B218" s="23" t="s">
        <v>987</v>
      </c>
      <c r="C218" s="23">
        <v>17740540516</v>
      </c>
      <c r="D218" s="23"/>
      <c r="E218" s="23" t="s">
        <v>964</v>
      </c>
      <c r="F218" s="23">
        <v>3</v>
      </c>
    </row>
    <row r="219" customHeight="1" spans="1:6">
      <c r="A219" s="22">
        <v>45703</v>
      </c>
      <c r="B219" s="23" t="s">
        <v>988</v>
      </c>
      <c r="C219" s="23">
        <v>13627110575</v>
      </c>
      <c r="D219" s="23"/>
      <c r="E219" s="23" t="s">
        <v>989</v>
      </c>
      <c r="F219" s="23">
        <v>2</v>
      </c>
    </row>
    <row r="220" customHeight="1" spans="1:6">
      <c r="A220" s="22">
        <v>45703</v>
      </c>
      <c r="B220" s="23" t="s">
        <v>990</v>
      </c>
      <c r="C220" s="23">
        <v>18186207264</v>
      </c>
      <c r="D220" s="23">
        <v>500</v>
      </c>
      <c r="E220" s="23" t="s">
        <v>989</v>
      </c>
      <c r="F220" s="23">
        <v>2</v>
      </c>
    </row>
    <row r="221" customHeight="1" spans="1:6">
      <c r="A221" s="22">
        <v>45703</v>
      </c>
      <c r="B221" s="23" t="s">
        <v>991</v>
      </c>
      <c r="C221" s="23">
        <v>18271802780</v>
      </c>
      <c r="D221" s="23">
        <v>1599</v>
      </c>
      <c r="E221" s="23" t="s">
        <v>753</v>
      </c>
      <c r="F221" s="23">
        <v>1</v>
      </c>
    </row>
    <row r="222" customHeight="1" spans="1:6">
      <c r="A222" s="22">
        <v>45703</v>
      </c>
      <c r="B222" s="23" t="s">
        <v>992</v>
      </c>
      <c r="C222" s="23">
        <v>18071959425</v>
      </c>
      <c r="D222" s="23">
        <v>1599</v>
      </c>
      <c r="E222" s="23" t="s">
        <v>983</v>
      </c>
      <c r="F222" s="23">
        <v>1</v>
      </c>
    </row>
    <row r="223" customHeight="1" spans="1:6">
      <c r="A223" s="22">
        <v>45704</v>
      </c>
      <c r="B223" s="23" t="s">
        <v>993</v>
      </c>
      <c r="C223" s="23">
        <v>18627163979</v>
      </c>
      <c r="D223" s="23">
        <v>600</v>
      </c>
      <c r="E223" s="23" t="s">
        <v>753</v>
      </c>
      <c r="F223" s="23">
        <v>1</v>
      </c>
    </row>
    <row r="224" customHeight="1" spans="1:6">
      <c r="A224" s="22">
        <v>45704</v>
      </c>
      <c r="B224" s="23" t="s">
        <v>994</v>
      </c>
      <c r="C224" s="23">
        <v>13072705098</v>
      </c>
      <c r="D224" s="23">
        <v>499</v>
      </c>
      <c r="E224" s="23" t="s">
        <v>942</v>
      </c>
      <c r="F224" s="23"/>
    </row>
    <row r="225" customHeight="1" spans="1:6">
      <c r="A225" s="22">
        <v>45704</v>
      </c>
      <c r="B225" s="23" t="s">
        <v>995</v>
      </c>
      <c r="C225" s="23">
        <v>18327304076</v>
      </c>
      <c r="D225" s="23">
        <v>800</v>
      </c>
      <c r="E225" s="23" t="s">
        <v>753</v>
      </c>
      <c r="F225" s="23">
        <v>1</v>
      </c>
    </row>
    <row r="226" customHeight="1" spans="1:6">
      <c r="A226" s="22">
        <v>45704</v>
      </c>
      <c r="B226" s="23" t="s">
        <v>996</v>
      </c>
      <c r="C226" s="23">
        <v>18164115259</v>
      </c>
      <c r="D226" s="23">
        <v>251</v>
      </c>
      <c r="E226" s="23" t="s">
        <v>989</v>
      </c>
      <c r="F226" s="23">
        <v>1</v>
      </c>
    </row>
    <row r="227" customHeight="1" spans="1:6">
      <c r="A227" s="22">
        <v>45704</v>
      </c>
      <c r="B227" s="23" t="s">
        <v>997</v>
      </c>
      <c r="C227" s="23">
        <v>13638622065</v>
      </c>
      <c r="D227" s="23">
        <v>1099</v>
      </c>
      <c r="E227" s="23" t="s">
        <v>940</v>
      </c>
      <c r="F227" s="23">
        <v>1</v>
      </c>
    </row>
    <row r="228" customHeight="1" spans="1:6">
      <c r="A228" s="22">
        <v>45705</v>
      </c>
      <c r="B228" s="23" t="s">
        <v>998</v>
      </c>
      <c r="C228" s="23">
        <v>18271187808</v>
      </c>
      <c r="D228" s="23">
        <v>499</v>
      </c>
      <c r="E228" s="23" t="s">
        <v>999</v>
      </c>
      <c r="F228" s="23">
        <v>2</v>
      </c>
    </row>
    <row r="229" customHeight="1" spans="1:6">
      <c r="A229" s="22">
        <v>45705</v>
      </c>
      <c r="B229" s="23" t="s">
        <v>1000</v>
      </c>
      <c r="C229" s="23">
        <v>18623695007</v>
      </c>
      <c r="D229" s="23">
        <v>499</v>
      </c>
      <c r="E229" s="23" t="s">
        <v>1001</v>
      </c>
      <c r="F229" s="23">
        <v>1</v>
      </c>
    </row>
    <row r="230" customHeight="1" spans="1:6">
      <c r="A230" s="22">
        <v>45705</v>
      </c>
      <c r="B230" s="23" t="s">
        <v>1002</v>
      </c>
      <c r="C230" s="23"/>
      <c r="D230" s="23">
        <v>599</v>
      </c>
      <c r="E230" s="23" t="s">
        <v>742</v>
      </c>
      <c r="F230" s="23">
        <v>1</v>
      </c>
    </row>
    <row r="231" customHeight="1" spans="1:6">
      <c r="A231" s="22">
        <v>45705</v>
      </c>
      <c r="B231" s="23" t="s">
        <v>1003</v>
      </c>
      <c r="C231" s="23">
        <v>18327134969</v>
      </c>
      <c r="D231" s="23"/>
      <c r="E231" s="23" t="s">
        <v>753</v>
      </c>
      <c r="F231" s="23">
        <v>1</v>
      </c>
    </row>
    <row r="232" customHeight="1" spans="1:6">
      <c r="A232" s="22">
        <v>45705</v>
      </c>
      <c r="B232" s="23" t="s">
        <v>1004</v>
      </c>
      <c r="C232" s="23">
        <v>13773404168</v>
      </c>
      <c r="D232" s="23">
        <v>1099</v>
      </c>
      <c r="E232" s="23" t="s">
        <v>753</v>
      </c>
      <c r="F232" s="23">
        <v>1</v>
      </c>
    </row>
    <row r="233" customHeight="1" spans="1:6">
      <c r="A233" s="22">
        <v>45705</v>
      </c>
      <c r="B233" s="23" t="s">
        <v>1005</v>
      </c>
      <c r="C233" s="23">
        <v>15727094490</v>
      </c>
      <c r="D233" s="23">
        <v>499</v>
      </c>
      <c r="E233" s="23" t="s">
        <v>980</v>
      </c>
      <c r="F233" s="23">
        <v>1</v>
      </c>
    </row>
    <row r="234" customHeight="1" spans="1:6">
      <c r="A234" s="22">
        <v>45705</v>
      </c>
      <c r="B234" s="23" t="s">
        <v>1006</v>
      </c>
      <c r="C234" s="23">
        <v>18771063443</v>
      </c>
      <c r="D234" s="23"/>
      <c r="E234" s="23" t="s">
        <v>989</v>
      </c>
      <c r="F234" s="23">
        <v>2</v>
      </c>
    </row>
    <row r="235" customHeight="1" spans="1:6">
      <c r="A235" s="22">
        <v>45705</v>
      </c>
      <c r="B235" s="23" t="s">
        <v>1007</v>
      </c>
      <c r="C235" s="23">
        <v>13530094611</v>
      </c>
      <c r="D235" s="23"/>
      <c r="E235" s="23" t="s">
        <v>1008</v>
      </c>
      <c r="F235" s="23">
        <v>3</v>
      </c>
    </row>
    <row r="236" customHeight="1" spans="1:6">
      <c r="A236" s="22">
        <v>45705</v>
      </c>
      <c r="B236" s="23" t="s">
        <v>1009</v>
      </c>
      <c r="C236" s="23">
        <v>13163244236</v>
      </c>
      <c r="D236" s="23">
        <v>599</v>
      </c>
      <c r="E236" s="23" t="s">
        <v>1010</v>
      </c>
      <c r="F236" s="23">
        <v>3</v>
      </c>
    </row>
    <row r="237" customHeight="1" spans="1:6">
      <c r="A237" s="22">
        <v>45705</v>
      </c>
      <c r="B237" s="23" t="s">
        <v>1011</v>
      </c>
      <c r="C237" s="23">
        <v>13716165798</v>
      </c>
      <c r="D237" s="23">
        <v>1500</v>
      </c>
      <c r="E237" s="23" t="s">
        <v>742</v>
      </c>
      <c r="F237" s="23">
        <v>1</v>
      </c>
    </row>
    <row r="238" customHeight="1" spans="1:6">
      <c r="A238" s="22">
        <v>45705</v>
      </c>
      <c r="B238" s="23" t="s">
        <v>1012</v>
      </c>
      <c r="C238" s="23">
        <v>15329628530</v>
      </c>
      <c r="D238" s="23">
        <v>1099</v>
      </c>
      <c r="E238" s="23" t="s">
        <v>968</v>
      </c>
      <c r="F238" s="23">
        <v>1</v>
      </c>
    </row>
    <row r="239" customHeight="1" spans="1:6">
      <c r="A239" s="22">
        <v>45705</v>
      </c>
      <c r="B239" s="23" t="s">
        <v>733</v>
      </c>
      <c r="C239" s="23">
        <v>15272294432</v>
      </c>
      <c r="D239" s="23">
        <v>1200</v>
      </c>
      <c r="E239" s="23" t="s">
        <v>960</v>
      </c>
      <c r="F239" s="23">
        <v>1</v>
      </c>
    </row>
    <row r="240" customHeight="1" spans="1:6">
      <c r="A240" s="22">
        <v>45705</v>
      </c>
      <c r="B240" s="23" t="s">
        <v>1013</v>
      </c>
      <c r="C240" s="23">
        <v>15375329543</v>
      </c>
      <c r="D240" s="23">
        <v>1200</v>
      </c>
      <c r="E240" s="23" t="s">
        <v>800</v>
      </c>
      <c r="F240" s="23">
        <v>1</v>
      </c>
    </row>
    <row r="241" customHeight="1" spans="1:6">
      <c r="A241" s="22">
        <v>45705</v>
      </c>
      <c r="B241" s="23" t="s">
        <v>837</v>
      </c>
      <c r="C241" s="23">
        <v>19971009346</v>
      </c>
      <c r="D241" s="23"/>
      <c r="E241" s="23" t="s">
        <v>742</v>
      </c>
      <c r="F241" s="23">
        <v>1</v>
      </c>
    </row>
    <row r="242" customHeight="1" spans="1:6">
      <c r="A242" s="22">
        <v>45705</v>
      </c>
      <c r="B242" s="23" t="s">
        <v>995</v>
      </c>
      <c r="C242" s="23">
        <v>18327304076</v>
      </c>
      <c r="D242" s="23"/>
      <c r="E242" s="23" t="s">
        <v>989</v>
      </c>
      <c r="F242" s="23">
        <v>2</v>
      </c>
    </row>
    <row r="243" customHeight="1" spans="1:6">
      <c r="A243" s="22">
        <v>45705</v>
      </c>
      <c r="B243" s="23" t="s">
        <v>1014</v>
      </c>
      <c r="C243" s="23">
        <v>18186519054</v>
      </c>
      <c r="D243" s="23">
        <v>499</v>
      </c>
      <c r="E243" s="23" t="s">
        <v>843</v>
      </c>
      <c r="F243" s="23">
        <v>1</v>
      </c>
    </row>
    <row r="244" customHeight="1" spans="1:6">
      <c r="A244" s="22">
        <v>45705</v>
      </c>
      <c r="B244" s="23" t="s">
        <v>1015</v>
      </c>
      <c r="C244" s="23">
        <v>18327506912</v>
      </c>
      <c r="D244" s="23">
        <v>499</v>
      </c>
      <c r="E244" s="23" t="s">
        <v>843</v>
      </c>
      <c r="F244" s="23">
        <v>1</v>
      </c>
    </row>
    <row r="245" customHeight="1" spans="1:6">
      <c r="A245" s="22">
        <v>45705</v>
      </c>
      <c r="B245" s="23" t="s">
        <v>979</v>
      </c>
      <c r="C245" s="23"/>
      <c r="D245" s="23">
        <v>499</v>
      </c>
      <c r="E245" s="23" t="s">
        <v>773</v>
      </c>
      <c r="F245" s="23">
        <v>1</v>
      </c>
    </row>
    <row r="246" customHeight="1" spans="1:6">
      <c r="A246" s="22">
        <v>45706</v>
      </c>
      <c r="B246" s="23" t="s">
        <v>1016</v>
      </c>
      <c r="C246" s="23">
        <v>13838745139</v>
      </c>
      <c r="D246" s="23">
        <v>1099</v>
      </c>
      <c r="E246" s="23" t="s">
        <v>940</v>
      </c>
      <c r="F246" s="23">
        <v>1</v>
      </c>
    </row>
    <row r="247" customHeight="1" spans="1:6">
      <c r="A247" s="22">
        <v>45706</v>
      </c>
      <c r="B247" s="23" t="s">
        <v>1017</v>
      </c>
      <c r="C247" s="23">
        <v>13035132925</v>
      </c>
      <c r="D247" s="23">
        <v>499</v>
      </c>
      <c r="E247" s="23" t="s">
        <v>800</v>
      </c>
      <c r="F247" s="23">
        <v>1</v>
      </c>
    </row>
    <row r="248" customHeight="1" spans="1:6">
      <c r="A248" s="22">
        <v>45706</v>
      </c>
      <c r="B248" s="23" t="s">
        <v>1018</v>
      </c>
      <c r="C248" s="23">
        <v>13803870783</v>
      </c>
      <c r="D248" s="23">
        <v>1200</v>
      </c>
      <c r="E248" s="23" t="s">
        <v>1019</v>
      </c>
      <c r="F248" s="23">
        <v>1</v>
      </c>
    </row>
    <row r="249" customHeight="1" spans="1:6">
      <c r="A249" s="22">
        <v>45706</v>
      </c>
      <c r="B249" s="23" t="s">
        <v>1020</v>
      </c>
      <c r="C249" s="23">
        <v>15107287918</v>
      </c>
      <c r="D249" s="23">
        <v>1099</v>
      </c>
      <c r="E249" s="23" t="s">
        <v>1019</v>
      </c>
      <c r="F249" s="23">
        <v>1</v>
      </c>
    </row>
    <row r="250" customHeight="1" spans="1:6">
      <c r="A250" s="22">
        <v>45706</v>
      </c>
      <c r="B250" s="23" t="s">
        <v>1021</v>
      </c>
      <c r="C250" s="23"/>
      <c r="D250" s="23"/>
      <c r="E250" s="23" t="s">
        <v>968</v>
      </c>
      <c r="F250" s="23">
        <v>1</v>
      </c>
    </row>
    <row r="251" customHeight="1" spans="1:6">
      <c r="A251" s="22">
        <v>45706</v>
      </c>
      <c r="B251" s="23" t="s">
        <v>1022</v>
      </c>
      <c r="C251" s="23">
        <v>15072520056</v>
      </c>
      <c r="D251" s="23"/>
      <c r="E251" s="23" t="s">
        <v>1023</v>
      </c>
      <c r="F251" s="23">
        <v>3</v>
      </c>
    </row>
    <row r="252" customHeight="1" spans="1:6">
      <c r="A252" s="22">
        <v>45706</v>
      </c>
      <c r="B252" s="23" t="s">
        <v>1024</v>
      </c>
      <c r="C252" s="23"/>
      <c r="D252" s="23"/>
      <c r="E252" s="23" t="s">
        <v>1023</v>
      </c>
      <c r="F252" s="23">
        <v>3</v>
      </c>
    </row>
    <row r="253" customHeight="1" spans="1:6">
      <c r="A253" s="22">
        <v>45706</v>
      </c>
      <c r="B253" s="23" t="s">
        <v>1025</v>
      </c>
      <c r="C253" s="23">
        <v>15373640326</v>
      </c>
      <c r="D253" s="23"/>
      <c r="E253" s="23" t="s">
        <v>1023</v>
      </c>
      <c r="F253" s="23">
        <v>3</v>
      </c>
    </row>
    <row r="254" customHeight="1" spans="1:6">
      <c r="A254" s="22">
        <v>45706</v>
      </c>
      <c r="B254" s="23" t="s">
        <v>1026</v>
      </c>
      <c r="C254" s="23">
        <v>17707132117</v>
      </c>
      <c r="D254" s="23"/>
      <c r="E254" s="23" t="s">
        <v>971</v>
      </c>
      <c r="F254" s="23">
        <v>3</v>
      </c>
    </row>
    <row r="255" customHeight="1" spans="1:6">
      <c r="A255" s="22">
        <v>45706</v>
      </c>
      <c r="B255" s="23" t="s">
        <v>1027</v>
      </c>
      <c r="C255" s="23">
        <v>17605246827</v>
      </c>
      <c r="D255" s="23"/>
      <c r="E255" s="23" t="s">
        <v>742</v>
      </c>
      <c r="F255" s="23">
        <v>1</v>
      </c>
    </row>
    <row r="256" customHeight="1" spans="1:6">
      <c r="A256" s="22">
        <v>45706</v>
      </c>
      <c r="B256" s="23" t="s">
        <v>1028</v>
      </c>
      <c r="C256" s="23">
        <v>19863431301</v>
      </c>
      <c r="D256" s="23"/>
      <c r="E256" s="23" t="s">
        <v>1001</v>
      </c>
      <c r="F256" s="23">
        <v>1</v>
      </c>
    </row>
    <row r="257" customHeight="1" spans="1:6">
      <c r="A257" s="22">
        <v>45706</v>
      </c>
      <c r="B257" s="23" t="s">
        <v>1029</v>
      </c>
      <c r="C257" s="23">
        <v>19857501302</v>
      </c>
      <c r="D257" s="23"/>
      <c r="E257" s="23" t="s">
        <v>1030</v>
      </c>
      <c r="F257" s="23">
        <v>1</v>
      </c>
    </row>
    <row r="258" customHeight="1" spans="1:6">
      <c r="A258" s="22">
        <v>45706</v>
      </c>
      <c r="B258" s="23" t="s">
        <v>1031</v>
      </c>
      <c r="C258" s="23">
        <v>13647169543</v>
      </c>
      <c r="D258" s="23"/>
      <c r="E258" s="23" t="s">
        <v>1001</v>
      </c>
      <c r="F258" s="23">
        <v>1</v>
      </c>
    </row>
    <row r="259" customHeight="1" spans="1:6">
      <c r="A259" s="22">
        <v>45706</v>
      </c>
      <c r="B259" s="23" t="s">
        <v>1032</v>
      </c>
      <c r="C259" s="23">
        <v>15827068872</v>
      </c>
      <c r="D259" s="23"/>
      <c r="E259" s="23" t="s">
        <v>1019</v>
      </c>
      <c r="F259" s="23">
        <v>1</v>
      </c>
    </row>
    <row r="260" customHeight="1" spans="1:6">
      <c r="A260" s="22">
        <v>45707</v>
      </c>
      <c r="B260" s="23" t="s">
        <v>1033</v>
      </c>
      <c r="C260" s="23">
        <v>18314368969</v>
      </c>
      <c r="D260" s="23"/>
      <c r="E260" s="23" t="s">
        <v>960</v>
      </c>
      <c r="F260" s="23">
        <v>1</v>
      </c>
    </row>
    <row r="261" customHeight="1" spans="1:6">
      <c r="A261" s="22">
        <v>45707</v>
      </c>
      <c r="B261" s="23" t="s">
        <v>1034</v>
      </c>
      <c r="C261" s="23">
        <v>15671672053</v>
      </c>
      <c r="D261" s="23"/>
      <c r="E261" s="23" t="s">
        <v>838</v>
      </c>
      <c r="F261" s="23">
        <v>1</v>
      </c>
    </row>
    <row r="262" customHeight="1" spans="1:6">
      <c r="A262" s="22">
        <v>45707</v>
      </c>
      <c r="B262" s="23" t="s">
        <v>1035</v>
      </c>
      <c r="C262" s="23">
        <v>17762551065</v>
      </c>
      <c r="D262" s="23"/>
      <c r="E262" s="23" t="s">
        <v>1001</v>
      </c>
      <c r="F262" s="23">
        <v>1</v>
      </c>
    </row>
    <row r="263" customHeight="1" spans="1:6">
      <c r="A263" s="22">
        <v>45707</v>
      </c>
      <c r="B263" s="23" t="s">
        <v>1036</v>
      </c>
      <c r="C263" s="23">
        <v>18872288056</v>
      </c>
      <c r="D263" s="23"/>
      <c r="E263" s="23" t="s">
        <v>1037</v>
      </c>
      <c r="F263" s="23">
        <v>3</v>
      </c>
    </row>
    <row r="264" customHeight="1" spans="1:6">
      <c r="A264" s="22">
        <v>45707</v>
      </c>
      <c r="B264" s="23" t="s">
        <v>1038</v>
      </c>
      <c r="C264" s="23">
        <v>19908680562</v>
      </c>
      <c r="D264" s="23"/>
      <c r="E264" s="23" t="s">
        <v>800</v>
      </c>
      <c r="F264" s="23">
        <v>1</v>
      </c>
    </row>
    <row r="265" customHeight="1" spans="1:6">
      <c r="A265" s="22">
        <v>45707</v>
      </c>
      <c r="B265" s="23" t="s">
        <v>1039</v>
      </c>
      <c r="C265" s="23">
        <v>15392829970</v>
      </c>
      <c r="D265" s="23"/>
      <c r="E265" s="23" t="s">
        <v>843</v>
      </c>
      <c r="F265" s="23">
        <v>1</v>
      </c>
    </row>
    <row r="266" customHeight="1" spans="1:6">
      <c r="A266" s="22">
        <v>45707</v>
      </c>
      <c r="B266" s="23" t="s">
        <v>1040</v>
      </c>
      <c r="C266" s="23"/>
      <c r="D266" s="23"/>
      <c r="E266" s="23" t="s">
        <v>800</v>
      </c>
      <c r="F266" s="23">
        <v>1</v>
      </c>
    </row>
    <row r="267" customHeight="1" spans="1:6">
      <c r="A267" s="22">
        <v>45707</v>
      </c>
      <c r="B267" s="23" t="s">
        <v>1041</v>
      </c>
      <c r="C267" s="23">
        <v>15571767128</v>
      </c>
      <c r="D267" s="23"/>
      <c r="E267" s="23" t="s">
        <v>1042</v>
      </c>
      <c r="F267" s="23">
        <v>3</v>
      </c>
    </row>
    <row r="268" customHeight="1" spans="1:6">
      <c r="A268" s="22">
        <v>45707</v>
      </c>
      <c r="B268" s="23" t="s">
        <v>1043</v>
      </c>
      <c r="C268" s="23">
        <v>18372668106</v>
      </c>
      <c r="D268" s="23"/>
      <c r="E268" s="23" t="s">
        <v>1044</v>
      </c>
      <c r="F268" s="23">
        <v>3</v>
      </c>
    </row>
    <row r="269" customHeight="1" spans="1:6">
      <c r="A269" s="22">
        <v>45707</v>
      </c>
      <c r="B269" s="23" t="s">
        <v>1045</v>
      </c>
      <c r="C269" s="23">
        <v>18320453474</v>
      </c>
      <c r="D269" s="23"/>
      <c r="E269" s="23" t="s">
        <v>1046</v>
      </c>
      <c r="F269" s="23">
        <v>1</v>
      </c>
    </row>
    <row r="270" customHeight="1" spans="1:6">
      <c r="A270" s="22">
        <v>45707</v>
      </c>
      <c r="B270" s="23" t="s">
        <v>1047</v>
      </c>
      <c r="C270" s="23">
        <v>15872100470</v>
      </c>
      <c r="D270" s="23"/>
      <c r="E270" s="23" t="s">
        <v>1048</v>
      </c>
      <c r="F270" s="23">
        <v>3</v>
      </c>
    </row>
    <row r="271" customHeight="1" spans="1:6">
      <c r="A271" s="22">
        <v>45707</v>
      </c>
      <c r="B271" s="23" t="s">
        <v>1049</v>
      </c>
      <c r="C271" s="23">
        <v>13197118415</v>
      </c>
      <c r="D271" s="23"/>
      <c r="E271" s="23" t="s">
        <v>1050</v>
      </c>
      <c r="F271" s="23">
        <v>3</v>
      </c>
    </row>
    <row r="272" customHeight="1" spans="1:6">
      <c r="A272" s="22">
        <v>45708</v>
      </c>
      <c r="B272" s="23" t="s">
        <v>1051</v>
      </c>
      <c r="C272" s="23">
        <v>13313003354</v>
      </c>
      <c r="D272" s="23">
        <v>10000</v>
      </c>
      <c r="E272" s="23" t="s">
        <v>1052</v>
      </c>
      <c r="F272" s="23">
        <v>2</v>
      </c>
    </row>
    <row r="273" customHeight="1" spans="1:6">
      <c r="A273" s="22">
        <v>45708</v>
      </c>
      <c r="B273" s="23" t="s">
        <v>1053</v>
      </c>
      <c r="C273" s="23">
        <v>15250185336</v>
      </c>
      <c r="D273" s="23"/>
      <c r="E273" s="23" t="s">
        <v>1054</v>
      </c>
      <c r="F273" s="23">
        <v>3</v>
      </c>
    </row>
    <row r="274" customHeight="1" spans="1:6">
      <c r="A274" s="22">
        <v>45708</v>
      </c>
      <c r="B274" s="23" t="s">
        <v>1055</v>
      </c>
      <c r="C274" s="23">
        <v>18062609505</v>
      </c>
      <c r="D274" s="23">
        <v>500</v>
      </c>
      <c r="E274" s="23" t="s">
        <v>980</v>
      </c>
      <c r="F274" s="23">
        <v>1</v>
      </c>
    </row>
    <row r="275" customHeight="1" spans="1:6">
      <c r="A275" s="22">
        <v>45708</v>
      </c>
      <c r="B275" s="23" t="s">
        <v>1056</v>
      </c>
      <c r="C275" s="23">
        <v>15637877885</v>
      </c>
      <c r="D275" s="23">
        <v>500</v>
      </c>
      <c r="E275" s="23" t="s">
        <v>942</v>
      </c>
      <c r="F275" s="23">
        <v>1</v>
      </c>
    </row>
    <row r="276" customHeight="1" spans="1:6">
      <c r="A276" s="22">
        <v>45708</v>
      </c>
      <c r="B276" s="23" t="s">
        <v>1057</v>
      </c>
      <c r="C276" s="23">
        <v>18827386851</v>
      </c>
      <c r="D276" s="23">
        <v>500</v>
      </c>
      <c r="E276" s="23" t="s">
        <v>999</v>
      </c>
      <c r="F276" s="23">
        <v>2</v>
      </c>
    </row>
    <row r="277" customHeight="1" spans="1:6">
      <c r="A277" s="22">
        <v>45708</v>
      </c>
      <c r="B277" s="23" t="s">
        <v>1058</v>
      </c>
      <c r="C277" s="23">
        <v>15871427934</v>
      </c>
      <c r="D277" s="23">
        <v>500</v>
      </c>
      <c r="E277" s="23" t="s">
        <v>1001</v>
      </c>
      <c r="F277" s="23">
        <v>1</v>
      </c>
    </row>
    <row r="278" customHeight="1" spans="1:6">
      <c r="A278" s="22">
        <v>45708</v>
      </c>
      <c r="B278" s="23" t="s">
        <v>1059</v>
      </c>
      <c r="C278" s="23">
        <v>13035132918</v>
      </c>
      <c r="D278" s="23"/>
      <c r="E278" s="23" t="s">
        <v>1060</v>
      </c>
      <c r="F278" s="23">
        <v>3</v>
      </c>
    </row>
    <row r="279" customHeight="1" spans="1:6">
      <c r="A279" s="22">
        <v>45708</v>
      </c>
      <c r="B279" s="23" t="s">
        <v>1061</v>
      </c>
      <c r="C279" s="23">
        <v>18071890025</v>
      </c>
      <c r="D279" s="23"/>
      <c r="E279" s="23" t="s">
        <v>1062</v>
      </c>
      <c r="F279" s="23">
        <v>3</v>
      </c>
    </row>
    <row r="280" customHeight="1" spans="1:6">
      <c r="A280" s="22">
        <v>45708</v>
      </c>
      <c r="B280" s="23" t="s">
        <v>1063</v>
      </c>
      <c r="C280" s="23"/>
      <c r="D280" s="23"/>
      <c r="E280" s="23" t="s">
        <v>1064</v>
      </c>
      <c r="F280" s="23">
        <v>1</v>
      </c>
    </row>
    <row r="281" customHeight="1" spans="1:6">
      <c r="A281" s="22">
        <v>45708</v>
      </c>
      <c r="B281" s="23" t="s">
        <v>1065</v>
      </c>
      <c r="C281" s="23">
        <v>15972269617</v>
      </c>
      <c r="D281" s="23"/>
      <c r="E281" s="23" t="s">
        <v>742</v>
      </c>
      <c r="F281" s="23">
        <v>1</v>
      </c>
    </row>
    <row r="282" customHeight="1" spans="1:6">
      <c r="A282" s="22">
        <v>45708</v>
      </c>
      <c r="B282" s="23" t="s">
        <v>1066</v>
      </c>
      <c r="C282" s="23">
        <v>15871261880</v>
      </c>
      <c r="D282" s="23"/>
      <c r="E282" s="23" t="s">
        <v>756</v>
      </c>
      <c r="F282" s="23">
        <v>1</v>
      </c>
    </row>
    <row r="283" customHeight="1" spans="1:6">
      <c r="A283" s="22">
        <v>45708</v>
      </c>
      <c r="B283" s="23" t="s">
        <v>1067</v>
      </c>
      <c r="C283" s="23">
        <v>13755481799</v>
      </c>
      <c r="D283" s="23"/>
      <c r="E283" s="23" t="s">
        <v>843</v>
      </c>
      <c r="F283" s="23">
        <v>1</v>
      </c>
    </row>
    <row r="284" customHeight="1" spans="1:6">
      <c r="A284" s="22">
        <v>45709</v>
      </c>
      <c r="B284" s="23" t="s">
        <v>1068</v>
      </c>
      <c r="C284" s="23"/>
      <c r="D284" s="23"/>
      <c r="E284" s="23" t="s">
        <v>1054</v>
      </c>
      <c r="F284" s="23">
        <v>3</v>
      </c>
    </row>
    <row r="285" customHeight="1" spans="1:6">
      <c r="A285" s="22">
        <v>45709</v>
      </c>
      <c r="B285" s="23" t="s">
        <v>1069</v>
      </c>
      <c r="C285" s="23">
        <v>13638659331</v>
      </c>
      <c r="D285" s="23"/>
      <c r="E285" s="23" t="s">
        <v>1070</v>
      </c>
      <c r="F285" s="23">
        <v>1</v>
      </c>
    </row>
    <row r="286" customHeight="1" spans="1:6">
      <c r="A286" s="22">
        <v>45709</v>
      </c>
      <c r="B286" s="23" t="s">
        <v>1071</v>
      </c>
      <c r="C286" s="23"/>
      <c r="D286" s="23"/>
      <c r="E286" s="23" t="s">
        <v>797</v>
      </c>
      <c r="F286" s="23">
        <v>1</v>
      </c>
    </row>
    <row r="287" customHeight="1" spans="1:6">
      <c r="A287" s="22">
        <v>45709</v>
      </c>
      <c r="B287" s="23" t="s">
        <v>1040</v>
      </c>
      <c r="C287" s="23"/>
      <c r="D287" s="23"/>
      <c r="E287" s="23" t="s">
        <v>940</v>
      </c>
      <c r="F287" s="23">
        <v>1</v>
      </c>
    </row>
    <row r="288" customHeight="1" spans="1:6">
      <c r="A288" s="22">
        <v>45709</v>
      </c>
      <c r="B288" s="23" t="s">
        <v>1072</v>
      </c>
      <c r="C288" s="23"/>
      <c r="D288" s="23"/>
      <c r="E288" s="23" t="s">
        <v>1073</v>
      </c>
      <c r="F288" s="23">
        <v>1</v>
      </c>
    </row>
    <row r="289" customHeight="1" spans="1:6">
      <c r="A289" s="22">
        <v>45709</v>
      </c>
      <c r="B289" s="23" t="s">
        <v>1074</v>
      </c>
      <c r="C289" s="23">
        <v>15872199936</v>
      </c>
      <c r="D289" s="23"/>
      <c r="E289" s="23" t="s">
        <v>942</v>
      </c>
      <c r="F289" s="23">
        <v>1</v>
      </c>
    </row>
    <row r="290" customHeight="1" spans="1:6">
      <c r="A290" s="22">
        <v>45709</v>
      </c>
      <c r="B290" s="23" t="s">
        <v>1075</v>
      </c>
      <c r="C290" s="23">
        <v>15272117103</v>
      </c>
      <c r="D290" s="23"/>
      <c r="E290" s="23" t="s">
        <v>1076</v>
      </c>
      <c r="F290" s="23">
        <v>2</v>
      </c>
    </row>
    <row r="291" customHeight="1" spans="1:6">
      <c r="A291" s="22">
        <v>45709</v>
      </c>
      <c r="B291" s="23" t="s">
        <v>1077</v>
      </c>
      <c r="C291" s="23">
        <v>15973000513</v>
      </c>
      <c r="D291" s="23"/>
      <c r="E291" s="23" t="s">
        <v>1078</v>
      </c>
      <c r="F291" s="23">
        <v>3</v>
      </c>
    </row>
    <row r="292" customHeight="1" spans="1:6">
      <c r="A292" s="22">
        <v>45709</v>
      </c>
      <c r="B292" s="23" t="s">
        <v>1079</v>
      </c>
      <c r="C292" s="23">
        <v>13197258651</v>
      </c>
      <c r="D292" s="23"/>
      <c r="E292" s="23" t="s">
        <v>725</v>
      </c>
      <c r="F292" s="23">
        <v>2</v>
      </c>
    </row>
    <row r="293" customHeight="1" spans="1:6">
      <c r="A293" s="22">
        <v>45709</v>
      </c>
      <c r="B293" s="23" t="s">
        <v>1080</v>
      </c>
      <c r="C293" s="23">
        <v>15727351421</v>
      </c>
      <c r="D293" s="23"/>
      <c r="E293" s="23" t="s">
        <v>1081</v>
      </c>
      <c r="F293" s="23">
        <v>2</v>
      </c>
    </row>
    <row r="294" customHeight="1" spans="1:6">
      <c r="A294" s="22">
        <v>45709</v>
      </c>
      <c r="B294" s="23" t="s">
        <v>1082</v>
      </c>
      <c r="C294" s="23">
        <v>15342262330</v>
      </c>
      <c r="D294" s="23"/>
      <c r="E294" s="23" t="s">
        <v>940</v>
      </c>
      <c r="F294" s="23">
        <v>1</v>
      </c>
    </row>
    <row r="295" customHeight="1" spans="1:6">
      <c r="A295" s="22">
        <v>45709</v>
      </c>
      <c r="B295" s="23" t="s">
        <v>1083</v>
      </c>
      <c r="C295" s="23">
        <v>18366417997</v>
      </c>
      <c r="D295" s="23"/>
      <c r="E295" s="23" t="s">
        <v>960</v>
      </c>
      <c r="F295" s="23">
        <v>2</v>
      </c>
    </row>
    <row r="296" customHeight="1" spans="1:6">
      <c r="A296" s="22">
        <v>45709</v>
      </c>
      <c r="B296" s="23"/>
      <c r="C296" s="23">
        <v>13373388622</v>
      </c>
      <c r="D296" s="23"/>
      <c r="E296" s="23" t="s">
        <v>940</v>
      </c>
      <c r="F296" s="23">
        <v>2</v>
      </c>
    </row>
    <row r="297" customHeight="1" spans="1:6">
      <c r="A297" s="22">
        <v>45709</v>
      </c>
      <c r="B297" s="23" t="s">
        <v>1084</v>
      </c>
      <c r="C297" s="23">
        <v>15674409935</v>
      </c>
      <c r="D297" s="23"/>
      <c r="E297" s="23" t="s">
        <v>797</v>
      </c>
      <c r="F297" s="23">
        <v>2</v>
      </c>
    </row>
    <row r="298" customHeight="1" spans="1:6">
      <c r="A298" s="22">
        <v>45709</v>
      </c>
      <c r="B298" s="23" t="s">
        <v>1085</v>
      </c>
      <c r="C298" s="23">
        <v>15378278828</v>
      </c>
      <c r="D298" s="23"/>
      <c r="E298" s="23" t="s">
        <v>1019</v>
      </c>
      <c r="F298" s="23">
        <v>2</v>
      </c>
    </row>
    <row r="299" customHeight="1" spans="1:6">
      <c r="A299" s="22">
        <v>45709</v>
      </c>
      <c r="B299" s="23" t="s">
        <v>1086</v>
      </c>
      <c r="C299" s="23">
        <v>13972418939</v>
      </c>
      <c r="D299" s="23"/>
      <c r="E299" s="23" t="s">
        <v>1087</v>
      </c>
      <c r="F299" s="23">
        <v>2</v>
      </c>
    </row>
    <row r="300" customHeight="1" spans="1:6">
      <c r="A300" s="22">
        <v>45709</v>
      </c>
      <c r="B300" s="23" t="s">
        <v>1088</v>
      </c>
      <c r="C300" s="23">
        <v>13872767271</v>
      </c>
      <c r="D300" s="23"/>
      <c r="E300" s="23" t="s">
        <v>960</v>
      </c>
      <c r="F300" s="23">
        <v>1</v>
      </c>
    </row>
    <row r="301" customHeight="1" spans="1:6">
      <c r="A301" s="22">
        <v>45709</v>
      </c>
      <c r="B301" s="23" t="s">
        <v>1089</v>
      </c>
      <c r="C301" s="23">
        <v>15653108929</v>
      </c>
      <c r="D301" s="23"/>
      <c r="E301" s="23" t="s">
        <v>1090</v>
      </c>
      <c r="F301" s="23">
        <v>3</v>
      </c>
    </row>
    <row r="302" customHeight="1" spans="1:6">
      <c r="A302" s="22">
        <v>45709</v>
      </c>
      <c r="B302" s="23" t="s">
        <v>1091</v>
      </c>
      <c r="C302" s="23">
        <v>15589542338</v>
      </c>
      <c r="D302" s="23"/>
      <c r="E302" s="23" t="s">
        <v>1090</v>
      </c>
      <c r="F302" s="23">
        <v>3</v>
      </c>
    </row>
    <row r="303" customHeight="1" spans="1:6">
      <c r="A303" s="22">
        <v>45709</v>
      </c>
      <c r="B303" s="23" t="s">
        <v>1092</v>
      </c>
      <c r="C303" s="23">
        <v>15589542338</v>
      </c>
      <c r="D303" s="23"/>
      <c r="E303" s="23" t="s">
        <v>1090</v>
      </c>
      <c r="F303" s="23">
        <v>3</v>
      </c>
    </row>
    <row r="304" customHeight="1" spans="1:6">
      <c r="A304" s="22">
        <v>45710</v>
      </c>
      <c r="B304" s="23" t="s">
        <v>1093</v>
      </c>
      <c r="C304" s="23">
        <v>13972084041</v>
      </c>
      <c r="D304" s="23"/>
      <c r="E304" s="23" t="s">
        <v>1064</v>
      </c>
      <c r="F304" s="23">
        <v>1</v>
      </c>
    </row>
    <row r="305" customHeight="1" spans="1:6">
      <c r="A305" s="22">
        <v>45710</v>
      </c>
      <c r="B305" s="23" t="s">
        <v>1094</v>
      </c>
      <c r="C305" s="23">
        <v>13080618621</v>
      </c>
      <c r="D305" s="23"/>
      <c r="E305" s="23" t="s">
        <v>940</v>
      </c>
      <c r="F305" s="23">
        <v>1</v>
      </c>
    </row>
    <row r="306" customHeight="1" spans="1:6">
      <c r="A306" s="22">
        <v>45710</v>
      </c>
      <c r="B306" s="23" t="s">
        <v>1095</v>
      </c>
      <c r="C306" s="23">
        <v>18154586294</v>
      </c>
      <c r="D306" s="23"/>
      <c r="E306" s="23" t="s">
        <v>725</v>
      </c>
      <c r="F306" s="23">
        <v>2</v>
      </c>
    </row>
    <row r="307" customHeight="1" spans="1:6">
      <c r="A307" s="22">
        <v>45710</v>
      </c>
      <c r="B307" s="23" t="s">
        <v>1071</v>
      </c>
      <c r="C307" s="23">
        <v>19373598824</v>
      </c>
      <c r="D307" s="23"/>
      <c r="E307" s="23" t="s">
        <v>725</v>
      </c>
      <c r="F307" s="23">
        <v>2</v>
      </c>
    </row>
    <row r="308" customHeight="1" spans="1:6">
      <c r="A308" s="22">
        <v>45710</v>
      </c>
      <c r="B308" s="23" t="s">
        <v>1096</v>
      </c>
      <c r="C308" s="23">
        <v>18727753327</v>
      </c>
      <c r="D308" s="23"/>
      <c r="E308" s="23" t="s">
        <v>960</v>
      </c>
      <c r="F308" s="23">
        <v>1</v>
      </c>
    </row>
    <row r="309" customHeight="1" spans="1:6">
      <c r="A309" s="22">
        <v>45710</v>
      </c>
      <c r="B309" s="23" t="s">
        <v>1075</v>
      </c>
      <c r="C309" s="23">
        <v>15272117103</v>
      </c>
      <c r="D309" s="23"/>
      <c r="E309" s="23" t="s">
        <v>960</v>
      </c>
      <c r="F309" s="23">
        <v>1</v>
      </c>
    </row>
    <row r="310" customHeight="1" spans="1:6">
      <c r="A310" s="22">
        <v>45710</v>
      </c>
      <c r="B310" s="23" t="s">
        <v>1097</v>
      </c>
      <c r="C310" s="23">
        <v>18177297168</v>
      </c>
      <c r="D310" s="23"/>
      <c r="E310" s="23" t="s">
        <v>805</v>
      </c>
      <c r="F310" s="23">
        <v>1</v>
      </c>
    </row>
    <row r="311" customHeight="1" spans="1:6">
      <c r="A311" s="22">
        <v>45710</v>
      </c>
      <c r="B311" s="23" t="s">
        <v>1098</v>
      </c>
      <c r="C311" s="23">
        <v>18073573881</v>
      </c>
      <c r="D311" s="23"/>
      <c r="E311" s="23" t="s">
        <v>960</v>
      </c>
      <c r="F311" s="23">
        <v>1</v>
      </c>
    </row>
    <row r="312" customHeight="1" spans="1:6">
      <c r="A312" s="22">
        <v>45710</v>
      </c>
      <c r="B312" s="23" t="s">
        <v>1099</v>
      </c>
      <c r="C312" s="23"/>
      <c r="D312" s="23"/>
      <c r="E312" s="23" t="s">
        <v>940</v>
      </c>
      <c r="F312" s="23">
        <v>1</v>
      </c>
    </row>
    <row r="313" customHeight="1" spans="1:6">
      <c r="A313" s="22">
        <v>45710</v>
      </c>
      <c r="B313" s="23" t="s">
        <v>841</v>
      </c>
      <c r="C313" s="23">
        <v>13469980322</v>
      </c>
      <c r="D313" s="23">
        <v>6000</v>
      </c>
      <c r="E313" s="23" t="s">
        <v>1100</v>
      </c>
      <c r="F313" s="23">
        <v>1</v>
      </c>
    </row>
    <row r="314" customHeight="1" spans="1:6">
      <c r="A314" s="22">
        <v>45710</v>
      </c>
      <c r="B314" s="23" t="s">
        <v>1101</v>
      </c>
      <c r="C314" s="23">
        <v>15337152203</v>
      </c>
      <c r="D314" s="23">
        <v>1012</v>
      </c>
      <c r="E314" s="23" t="s">
        <v>800</v>
      </c>
      <c r="F314" s="23">
        <v>1</v>
      </c>
    </row>
    <row r="315" customHeight="1" spans="1:6">
      <c r="A315" s="22">
        <v>45711</v>
      </c>
      <c r="B315" s="23" t="s">
        <v>1035</v>
      </c>
      <c r="C315" s="23">
        <v>17762551065</v>
      </c>
      <c r="D315" s="23"/>
      <c r="E315" s="23" t="s">
        <v>836</v>
      </c>
      <c r="F315" s="23">
        <v>2</v>
      </c>
    </row>
    <row r="316" customHeight="1" spans="1:6">
      <c r="A316" s="22">
        <v>45711</v>
      </c>
      <c r="B316" s="23" t="s">
        <v>1102</v>
      </c>
      <c r="C316" s="23">
        <v>19877099386</v>
      </c>
      <c r="D316" s="23"/>
      <c r="E316" s="23" t="s">
        <v>960</v>
      </c>
      <c r="F316" s="23">
        <v>1</v>
      </c>
    </row>
    <row r="317" customHeight="1" spans="1:6">
      <c r="A317" s="22">
        <v>45711</v>
      </c>
      <c r="B317" s="23" t="s">
        <v>1103</v>
      </c>
      <c r="C317" s="23">
        <v>13080655339</v>
      </c>
      <c r="D317" s="23"/>
      <c r="E317" s="23" t="s">
        <v>960</v>
      </c>
      <c r="F317" s="23">
        <v>1</v>
      </c>
    </row>
    <row r="318" customHeight="1" spans="1:6">
      <c r="A318" s="22">
        <v>45711</v>
      </c>
      <c r="B318" s="23" t="s">
        <v>1093</v>
      </c>
      <c r="C318" s="23">
        <v>13972084041</v>
      </c>
      <c r="D318" s="23"/>
      <c r="E318" s="23" t="s">
        <v>725</v>
      </c>
      <c r="F318" s="23">
        <v>2</v>
      </c>
    </row>
    <row r="319" customHeight="1" spans="1:6">
      <c r="A319" s="22">
        <v>45711</v>
      </c>
      <c r="B319" s="23" t="s">
        <v>1104</v>
      </c>
      <c r="C319" s="23">
        <v>15828614948</v>
      </c>
      <c r="D319" s="23"/>
      <c r="E319" s="23" t="s">
        <v>805</v>
      </c>
      <c r="F319" s="23">
        <v>1</v>
      </c>
    </row>
    <row r="320" customHeight="1" spans="1:6">
      <c r="A320" s="22">
        <v>45711</v>
      </c>
      <c r="B320" s="23" t="s">
        <v>655</v>
      </c>
      <c r="C320" s="23">
        <v>15391611852</v>
      </c>
      <c r="D320" s="23"/>
      <c r="E320" s="23" t="s">
        <v>725</v>
      </c>
      <c r="F320" s="23">
        <v>2</v>
      </c>
    </row>
    <row r="321" customHeight="1" spans="1:6">
      <c r="A321" s="22">
        <v>45711</v>
      </c>
      <c r="B321" s="23" t="s">
        <v>1105</v>
      </c>
      <c r="C321" s="23">
        <v>18152082599</v>
      </c>
      <c r="D321" s="23"/>
      <c r="E321" s="23" t="s">
        <v>805</v>
      </c>
      <c r="F321" s="23">
        <v>1</v>
      </c>
    </row>
    <row r="322" customHeight="1" spans="1:6">
      <c r="A322" s="22">
        <v>45711</v>
      </c>
      <c r="B322" s="23" t="s">
        <v>1106</v>
      </c>
      <c r="C322" s="23"/>
      <c r="D322" s="23"/>
      <c r="E322" s="23" t="s">
        <v>797</v>
      </c>
      <c r="F322" s="23">
        <v>1</v>
      </c>
    </row>
    <row r="323" customHeight="1" spans="1:6">
      <c r="A323" s="22">
        <v>45711</v>
      </c>
      <c r="B323" s="23" t="s">
        <v>1107</v>
      </c>
      <c r="C323" s="23">
        <v>13272030817</v>
      </c>
      <c r="D323" s="23"/>
      <c r="E323" s="23" t="s">
        <v>742</v>
      </c>
      <c r="F323" s="23">
        <v>1</v>
      </c>
    </row>
    <row r="324" customHeight="1" spans="1:6">
      <c r="A324" s="22">
        <v>45711</v>
      </c>
      <c r="B324" s="23" t="s">
        <v>1108</v>
      </c>
      <c r="C324" s="23">
        <v>18270912845</v>
      </c>
      <c r="D324" s="23"/>
      <c r="E324" s="23" t="s">
        <v>800</v>
      </c>
      <c r="F324" s="23">
        <v>1</v>
      </c>
    </row>
    <row r="325" customHeight="1" spans="1:6">
      <c r="A325" s="22">
        <v>45711</v>
      </c>
      <c r="B325" s="23" t="s">
        <v>1099</v>
      </c>
      <c r="C325" s="23">
        <v>13755104584</v>
      </c>
      <c r="D325" s="23"/>
      <c r="E325" s="23" t="s">
        <v>836</v>
      </c>
      <c r="F325" s="23">
        <v>2</v>
      </c>
    </row>
    <row r="326" customHeight="1" spans="1:6">
      <c r="A326" s="22">
        <v>45711</v>
      </c>
      <c r="B326" s="23" t="s">
        <v>1109</v>
      </c>
      <c r="C326" s="23">
        <v>18580547319</v>
      </c>
      <c r="D326" s="23"/>
      <c r="E326" s="23" t="s">
        <v>836</v>
      </c>
      <c r="F326" s="23">
        <v>2</v>
      </c>
    </row>
    <row r="327" customHeight="1" spans="1:6">
      <c r="A327" s="22">
        <v>45711</v>
      </c>
      <c r="B327" s="23" t="s">
        <v>1110</v>
      </c>
      <c r="C327" s="23">
        <v>18076371130</v>
      </c>
      <c r="D327" s="23"/>
      <c r="E327" s="23" t="s">
        <v>836</v>
      </c>
      <c r="F327" s="23">
        <v>2</v>
      </c>
    </row>
    <row r="328" customHeight="1" spans="1:6">
      <c r="A328" s="22">
        <v>45711</v>
      </c>
      <c r="B328" s="23" t="s">
        <v>1111</v>
      </c>
      <c r="C328" s="23">
        <v>13385068127</v>
      </c>
      <c r="D328" s="23"/>
      <c r="E328" s="23" t="s">
        <v>1112</v>
      </c>
      <c r="F328" s="23">
        <v>1</v>
      </c>
    </row>
    <row r="329" customHeight="1" spans="1:6">
      <c r="A329" s="22">
        <v>45711</v>
      </c>
      <c r="B329" s="23" t="s">
        <v>1113</v>
      </c>
      <c r="C329" s="23">
        <v>18327264513</v>
      </c>
      <c r="D329" s="23"/>
      <c r="E329" s="23" t="s">
        <v>980</v>
      </c>
      <c r="F329" s="23">
        <v>1</v>
      </c>
    </row>
    <row r="330" customHeight="1" spans="1:6">
      <c r="A330" s="22">
        <v>45711</v>
      </c>
      <c r="B330" s="23" t="s">
        <v>1114</v>
      </c>
      <c r="C330" s="23">
        <v>13387250980</v>
      </c>
      <c r="D330" s="23"/>
      <c r="E330" s="23" t="s">
        <v>1062</v>
      </c>
      <c r="F330" s="23">
        <v>3</v>
      </c>
    </row>
    <row r="331" customHeight="1" spans="1:6">
      <c r="A331" s="22">
        <v>45711</v>
      </c>
      <c r="B331" s="23" t="s">
        <v>1115</v>
      </c>
      <c r="C331" s="23">
        <v>15884337137</v>
      </c>
      <c r="D331" s="23"/>
      <c r="E331" s="23" t="s">
        <v>1116</v>
      </c>
      <c r="F331" s="23">
        <v>3</v>
      </c>
    </row>
    <row r="332" customHeight="1" spans="1:6">
      <c r="A332" s="22">
        <v>45711</v>
      </c>
      <c r="B332" s="23" t="s">
        <v>1117</v>
      </c>
      <c r="C332" s="23">
        <v>13143624691</v>
      </c>
      <c r="D332" s="23"/>
      <c r="E332" s="23" t="s">
        <v>805</v>
      </c>
      <c r="F332" s="23">
        <v>1</v>
      </c>
    </row>
    <row r="333" customHeight="1" spans="1:6">
      <c r="A333" s="22">
        <v>45711</v>
      </c>
      <c r="B333" s="23" t="s">
        <v>1118</v>
      </c>
      <c r="C333" s="23">
        <v>15927740279</v>
      </c>
      <c r="D333" s="23"/>
      <c r="E333" s="23" t="s">
        <v>1001</v>
      </c>
      <c r="F333" s="23">
        <v>1</v>
      </c>
    </row>
    <row r="334" customHeight="1" spans="1:6">
      <c r="A334" s="22">
        <v>45712</v>
      </c>
      <c r="B334" s="23" t="s">
        <v>1119</v>
      </c>
      <c r="C334" s="23">
        <v>14784765013</v>
      </c>
      <c r="D334" s="23"/>
      <c r="E334" s="23" t="s">
        <v>980</v>
      </c>
      <c r="F334" s="23">
        <v>1</v>
      </c>
    </row>
    <row r="335" customHeight="1" spans="1:6">
      <c r="A335" s="22">
        <v>45712</v>
      </c>
      <c r="B335" s="23" t="s">
        <v>1120</v>
      </c>
      <c r="C335" s="23">
        <v>13655222032</v>
      </c>
      <c r="D335" s="23"/>
      <c r="E335" s="23" t="s">
        <v>1121</v>
      </c>
      <c r="F335" s="23">
        <v>3</v>
      </c>
    </row>
    <row r="336" customHeight="1" spans="1:6">
      <c r="A336" s="22">
        <v>45712</v>
      </c>
      <c r="B336" s="23" t="s">
        <v>1122</v>
      </c>
      <c r="C336" s="23">
        <v>19863661036</v>
      </c>
      <c r="D336" s="23"/>
      <c r="E336" s="23" t="s">
        <v>980</v>
      </c>
      <c r="F336" s="23">
        <v>1</v>
      </c>
    </row>
    <row r="337" customHeight="1" spans="1:6">
      <c r="A337" s="22">
        <v>45712</v>
      </c>
      <c r="B337" s="23" t="s">
        <v>1123</v>
      </c>
      <c r="C337" s="23">
        <v>18975093959</v>
      </c>
      <c r="D337" s="23"/>
      <c r="E337" s="23" t="s">
        <v>1124</v>
      </c>
      <c r="F337" s="23">
        <v>1</v>
      </c>
    </row>
    <row r="338" customHeight="1" spans="1:6">
      <c r="A338" s="22">
        <v>45712</v>
      </c>
      <c r="B338" s="23" t="s">
        <v>1125</v>
      </c>
      <c r="C338" s="23">
        <v>19107228090</v>
      </c>
      <c r="D338" s="23"/>
      <c r="E338" s="23" t="s">
        <v>940</v>
      </c>
      <c r="F338" s="23">
        <v>1</v>
      </c>
    </row>
    <row r="339" customHeight="1" spans="1:6">
      <c r="A339" s="22">
        <v>45712</v>
      </c>
      <c r="B339" s="23" t="s">
        <v>1126</v>
      </c>
      <c r="C339" s="23"/>
      <c r="D339" s="23"/>
      <c r="E339" s="23" t="s">
        <v>805</v>
      </c>
      <c r="F339" s="23">
        <v>1</v>
      </c>
    </row>
    <row r="340" customHeight="1" spans="1:6">
      <c r="A340" s="22">
        <v>45712</v>
      </c>
      <c r="B340" s="26" t="s">
        <v>1127</v>
      </c>
      <c r="C340" s="26">
        <v>18636178967</v>
      </c>
      <c r="D340" s="23">
        <v>1299</v>
      </c>
      <c r="E340" s="23" t="s">
        <v>797</v>
      </c>
      <c r="F340" s="23">
        <v>1</v>
      </c>
    </row>
    <row r="341" customHeight="1" spans="1:6">
      <c r="A341" s="22">
        <v>45712</v>
      </c>
      <c r="B341" s="23" t="s">
        <v>1128</v>
      </c>
      <c r="C341" s="23">
        <v>13247177130</v>
      </c>
      <c r="D341" s="23"/>
      <c r="E341" s="23" t="s">
        <v>980</v>
      </c>
      <c r="F341" s="23">
        <v>1</v>
      </c>
    </row>
    <row r="342" customHeight="1" spans="1:6">
      <c r="A342" s="22">
        <v>45712</v>
      </c>
      <c r="B342" s="23" t="s">
        <v>1129</v>
      </c>
      <c r="C342" s="23">
        <v>18793495233</v>
      </c>
      <c r="D342" s="23"/>
      <c r="E342" s="23" t="s">
        <v>797</v>
      </c>
      <c r="F342" s="23">
        <v>1</v>
      </c>
    </row>
    <row r="343" customHeight="1" spans="1:6">
      <c r="A343" s="22">
        <v>45712</v>
      </c>
      <c r="B343" s="23" t="s">
        <v>1130</v>
      </c>
      <c r="C343" s="23">
        <v>18587140442</v>
      </c>
      <c r="D343" s="23"/>
      <c r="E343" s="23" t="s">
        <v>753</v>
      </c>
      <c r="F343" s="23">
        <v>1</v>
      </c>
    </row>
    <row r="344" customHeight="1" spans="1:6">
      <c r="A344" s="22">
        <v>45712</v>
      </c>
      <c r="B344" s="23" t="s">
        <v>1131</v>
      </c>
      <c r="C344" s="23">
        <v>15287457434</v>
      </c>
      <c r="D344" s="23"/>
      <c r="E344" s="23" t="s">
        <v>805</v>
      </c>
      <c r="F344" s="23">
        <v>1</v>
      </c>
    </row>
    <row r="345" customHeight="1" spans="1:6">
      <c r="A345" s="22">
        <v>45712</v>
      </c>
      <c r="B345" s="23" t="s">
        <v>1132</v>
      </c>
      <c r="C345" s="23"/>
      <c r="D345" s="23"/>
      <c r="E345" s="23" t="s">
        <v>797</v>
      </c>
      <c r="F345" s="23">
        <v>1</v>
      </c>
    </row>
    <row r="346" customHeight="1" spans="1:6">
      <c r="A346" s="22">
        <v>45712</v>
      </c>
      <c r="B346" s="23" t="s">
        <v>1133</v>
      </c>
      <c r="C346" s="23">
        <v>16638889644</v>
      </c>
      <c r="D346" s="23"/>
      <c r="E346" s="23" t="s">
        <v>1134</v>
      </c>
      <c r="F346" s="23">
        <v>2</v>
      </c>
    </row>
    <row r="347" customHeight="1" spans="1:6">
      <c r="A347" s="22">
        <v>45712</v>
      </c>
      <c r="B347" s="23" t="s">
        <v>1131</v>
      </c>
      <c r="C347" s="23">
        <v>15287457434</v>
      </c>
      <c r="D347" s="23"/>
      <c r="E347" s="23" t="s">
        <v>1135</v>
      </c>
      <c r="F347" s="23">
        <v>2</v>
      </c>
    </row>
    <row r="348" customHeight="1" spans="1:6">
      <c r="A348" s="22">
        <v>45712</v>
      </c>
      <c r="B348" s="23" t="s">
        <v>1136</v>
      </c>
      <c r="C348" s="23">
        <v>17595799511</v>
      </c>
      <c r="D348" s="23"/>
      <c r="E348" s="23" t="s">
        <v>805</v>
      </c>
      <c r="F348" s="23">
        <v>1</v>
      </c>
    </row>
    <row r="349" customHeight="1" spans="1:6">
      <c r="A349" s="22">
        <v>45712</v>
      </c>
      <c r="B349" s="23" t="s">
        <v>1137</v>
      </c>
      <c r="C349" s="23">
        <v>15827635730</v>
      </c>
      <c r="D349" s="23"/>
      <c r="E349" s="23" t="s">
        <v>1064</v>
      </c>
      <c r="F349" s="23">
        <v>1</v>
      </c>
    </row>
    <row r="350" customHeight="1" spans="1:6">
      <c r="A350" s="22">
        <v>45712</v>
      </c>
      <c r="B350" s="23" t="s">
        <v>1138</v>
      </c>
      <c r="C350" s="23">
        <v>13072798120</v>
      </c>
      <c r="D350" s="23"/>
      <c r="E350" s="23" t="s">
        <v>980</v>
      </c>
      <c r="F350" s="23">
        <v>1</v>
      </c>
    </row>
    <row r="351" customHeight="1" spans="1:6">
      <c r="A351" s="22">
        <v>45712</v>
      </c>
      <c r="B351" s="23" t="s">
        <v>1139</v>
      </c>
      <c r="C351" s="23">
        <v>13163297381</v>
      </c>
      <c r="D351" s="23"/>
      <c r="E351" s="23" t="s">
        <v>797</v>
      </c>
      <c r="F351" s="23">
        <v>1</v>
      </c>
    </row>
    <row r="352" customHeight="1" spans="1:6">
      <c r="A352" s="22">
        <v>45712</v>
      </c>
      <c r="B352" s="23" t="s">
        <v>1140</v>
      </c>
      <c r="C352" s="23">
        <v>14775683990</v>
      </c>
      <c r="D352" s="23"/>
      <c r="E352" s="23" t="s">
        <v>968</v>
      </c>
      <c r="F352" s="23">
        <v>1</v>
      </c>
    </row>
    <row r="353" customHeight="1" spans="1:6">
      <c r="A353" s="22">
        <v>45712</v>
      </c>
      <c r="B353" s="23" t="s">
        <v>1141</v>
      </c>
      <c r="C353" s="23">
        <v>17966277842</v>
      </c>
      <c r="D353" s="23"/>
      <c r="E353" s="23" t="s">
        <v>1142</v>
      </c>
      <c r="F353" s="23">
        <v>1</v>
      </c>
    </row>
    <row r="354" customHeight="1" spans="1:6">
      <c r="A354" s="22">
        <v>45712</v>
      </c>
      <c r="B354" s="23" t="s">
        <v>1143</v>
      </c>
      <c r="C354" s="23">
        <v>17707434742</v>
      </c>
      <c r="D354" s="23"/>
      <c r="E354" s="23" t="s">
        <v>1124</v>
      </c>
      <c r="F354" s="23">
        <v>1</v>
      </c>
    </row>
    <row r="355" customHeight="1" spans="1:6">
      <c r="A355" s="22">
        <v>45712</v>
      </c>
      <c r="B355" s="23" t="s">
        <v>537</v>
      </c>
      <c r="C355" s="23">
        <v>13387633167</v>
      </c>
      <c r="D355" s="23"/>
      <c r="E355" s="23" t="s">
        <v>800</v>
      </c>
      <c r="F355" s="23">
        <v>1</v>
      </c>
    </row>
    <row r="356" customHeight="1" spans="1:6">
      <c r="A356" s="22">
        <v>45712</v>
      </c>
      <c r="B356" s="23" t="s">
        <v>1107</v>
      </c>
      <c r="C356" s="23">
        <v>13272030817</v>
      </c>
      <c r="D356" s="23"/>
      <c r="E356" s="23" t="s">
        <v>1076</v>
      </c>
      <c r="F356" s="23">
        <v>2</v>
      </c>
    </row>
    <row r="357" customHeight="1" spans="1:6">
      <c r="A357" s="22">
        <v>45712</v>
      </c>
      <c r="B357" s="23" t="s">
        <v>1144</v>
      </c>
      <c r="C357" s="23">
        <v>18270912845</v>
      </c>
      <c r="D357" s="23"/>
      <c r="E357" s="23" t="s">
        <v>1076</v>
      </c>
      <c r="F357" s="23">
        <v>2</v>
      </c>
    </row>
    <row r="358" customHeight="1" spans="1:6">
      <c r="A358" s="22">
        <v>45712</v>
      </c>
      <c r="B358" s="23" t="s">
        <v>1145</v>
      </c>
      <c r="C358" s="23">
        <v>16634206688</v>
      </c>
      <c r="D358" s="23"/>
      <c r="E358" s="23" t="s">
        <v>1146</v>
      </c>
      <c r="F358" s="23">
        <v>2</v>
      </c>
    </row>
    <row r="359" customHeight="1" spans="1:6">
      <c r="A359" s="22">
        <v>45713</v>
      </c>
      <c r="B359" s="23" t="s">
        <v>1147</v>
      </c>
      <c r="C359" s="23">
        <v>18347985418</v>
      </c>
      <c r="D359" s="23"/>
      <c r="E359" s="23" t="s">
        <v>1148</v>
      </c>
      <c r="F359" s="23">
        <v>1</v>
      </c>
    </row>
    <row r="360" customHeight="1" spans="1:6">
      <c r="A360" s="22">
        <v>45713</v>
      </c>
      <c r="B360" s="23" t="s">
        <v>1149</v>
      </c>
      <c r="C360" s="23">
        <v>1889711418</v>
      </c>
      <c r="D360" s="23"/>
      <c r="E360" s="23" t="s">
        <v>1150</v>
      </c>
      <c r="F360" s="23">
        <v>1</v>
      </c>
    </row>
    <row r="361" customHeight="1" spans="1:6">
      <c r="A361" s="22">
        <v>45713</v>
      </c>
      <c r="B361" s="23" t="s">
        <v>1151</v>
      </c>
      <c r="C361" s="23">
        <v>15927208333</v>
      </c>
      <c r="D361" s="23"/>
      <c r="E361" s="23" t="s">
        <v>980</v>
      </c>
      <c r="F361" s="23">
        <v>1</v>
      </c>
    </row>
    <row r="362" customHeight="1" spans="1:6">
      <c r="A362" s="22">
        <v>45713</v>
      </c>
      <c r="B362" s="23" t="s">
        <v>1152</v>
      </c>
      <c r="C362" s="23">
        <v>13297123459</v>
      </c>
      <c r="D362" s="23"/>
      <c r="E362" s="23" t="s">
        <v>1153</v>
      </c>
      <c r="F362" s="23">
        <v>2</v>
      </c>
    </row>
    <row r="363" customHeight="1" spans="1:6">
      <c r="A363" s="22">
        <v>45713</v>
      </c>
      <c r="B363" s="23" t="s">
        <v>1154</v>
      </c>
      <c r="C363" s="23">
        <v>1844332617</v>
      </c>
      <c r="D363" s="23"/>
      <c r="E363" s="23" t="s">
        <v>980</v>
      </c>
      <c r="F363" s="23">
        <v>1</v>
      </c>
    </row>
    <row r="364" customHeight="1" spans="1:6">
      <c r="A364" s="22">
        <v>45713</v>
      </c>
      <c r="B364" s="23" t="s">
        <v>1155</v>
      </c>
      <c r="C364" s="23">
        <v>13337391024</v>
      </c>
      <c r="D364" s="23"/>
      <c r="E364" s="23" t="s">
        <v>756</v>
      </c>
      <c r="F364" s="23">
        <v>1</v>
      </c>
    </row>
    <row r="365" customHeight="1" spans="1:6">
      <c r="A365" s="22">
        <v>45713</v>
      </c>
      <c r="B365" s="23" t="s">
        <v>1156</v>
      </c>
      <c r="C365" s="23">
        <v>15090015017</v>
      </c>
      <c r="D365" s="23"/>
      <c r="E365" s="23" t="s">
        <v>831</v>
      </c>
      <c r="F365" s="23">
        <v>1</v>
      </c>
    </row>
    <row r="366" customHeight="1" spans="1:6">
      <c r="A366" s="22">
        <v>45713</v>
      </c>
      <c r="B366" s="23" t="s">
        <v>1157</v>
      </c>
      <c r="C366" s="23">
        <v>15738330403</v>
      </c>
      <c r="D366" s="23"/>
      <c r="E366" s="23" t="s">
        <v>1142</v>
      </c>
      <c r="F366" s="23">
        <v>1</v>
      </c>
    </row>
    <row r="367" customHeight="1" spans="1:6">
      <c r="A367" s="22">
        <v>45713</v>
      </c>
      <c r="B367" s="23" t="s">
        <v>1158</v>
      </c>
      <c r="C367" s="23">
        <v>15997495145</v>
      </c>
      <c r="D367" s="23"/>
      <c r="E367" s="23" t="s">
        <v>843</v>
      </c>
      <c r="F367" s="23">
        <v>1</v>
      </c>
    </row>
    <row r="368" customHeight="1" spans="1:6">
      <c r="A368" s="22">
        <v>45713</v>
      </c>
      <c r="B368" s="23" t="s">
        <v>1159</v>
      </c>
      <c r="C368" s="23">
        <v>13718008655</v>
      </c>
      <c r="D368" s="23"/>
      <c r="E368" s="23" t="s">
        <v>831</v>
      </c>
      <c r="F368" s="23">
        <v>1</v>
      </c>
    </row>
    <row r="369" customHeight="1" spans="1:6">
      <c r="A369" s="22">
        <v>45713</v>
      </c>
      <c r="B369" s="23" t="s">
        <v>1160</v>
      </c>
      <c r="C369" s="23">
        <v>15923779039</v>
      </c>
      <c r="D369" s="23"/>
      <c r="E369" s="23" t="s">
        <v>797</v>
      </c>
      <c r="F369" s="23">
        <v>1</v>
      </c>
    </row>
    <row r="370" customHeight="1" spans="1:6">
      <c r="A370" s="22">
        <v>45713</v>
      </c>
      <c r="B370" s="23" t="s">
        <v>1161</v>
      </c>
      <c r="C370" s="23">
        <v>13873140690</v>
      </c>
      <c r="D370" s="23"/>
      <c r="E370" s="23" t="s">
        <v>1162</v>
      </c>
      <c r="F370" s="23">
        <v>3</v>
      </c>
    </row>
    <row r="371" customHeight="1" spans="1:6">
      <c r="A371" s="22">
        <v>45713</v>
      </c>
      <c r="B371" s="23" t="s">
        <v>1163</v>
      </c>
      <c r="C371" s="23">
        <v>15997494245</v>
      </c>
      <c r="D371" s="23"/>
      <c r="E371" s="23" t="s">
        <v>1164</v>
      </c>
      <c r="F371" s="23">
        <v>3</v>
      </c>
    </row>
    <row r="372" customHeight="1" spans="1:6">
      <c r="A372" s="22">
        <v>45713</v>
      </c>
      <c r="B372" s="23" t="s">
        <v>1165</v>
      </c>
      <c r="C372" s="23">
        <v>17614795710</v>
      </c>
      <c r="D372" s="23"/>
      <c r="E372" s="23" t="s">
        <v>983</v>
      </c>
      <c r="F372" s="23">
        <v>1</v>
      </c>
    </row>
    <row r="373" customHeight="1" spans="1:6">
      <c r="A373" s="22">
        <v>45713</v>
      </c>
      <c r="B373" s="23" t="s">
        <v>1166</v>
      </c>
      <c r="C373" s="23">
        <v>17809552004</v>
      </c>
      <c r="D373" s="23"/>
      <c r="E373" s="23" t="s">
        <v>980</v>
      </c>
      <c r="F373" s="23">
        <v>1</v>
      </c>
    </row>
    <row r="374" customHeight="1" spans="1:6">
      <c r="A374" s="22">
        <v>45713</v>
      </c>
      <c r="B374" s="23" t="s">
        <v>1167</v>
      </c>
      <c r="C374" s="23">
        <v>17343264429</v>
      </c>
      <c r="D374" s="23"/>
      <c r="E374" s="23" t="s">
        <v>940</v>
      </c>
      <c r="F374" s="23">
        <v>1</v>
      </c>
    </row>
    <row r="375" customHeight="1" spans="1:6">
      <c r="A375" s="22">
        <v>45713</v>
      </c>
      <c r="B375" s="23" t="s">
        <v>1168</v>
      </c>
      <c r="C375" s="23">
        <v>18730156822</v>
      </c>
      <c r="D375" s="23"/>
      <c r="E375" s="23" t="s">
        <v>1142</v>
      </c>
      <c r="F375" s="23">
        <v>1</v>
      </c>
    </row>
    <row r="376" customHeight="1" spans="1:6">
      <c r="A376" s="22">
        <v>45713</v>
      </c>
      <c r="B376" s="23" t="s">
        <v>1169</v>
      </c>
      <c r="C376" s="23">
        <v>18767805837</v>
      </c>
      <c r="D376" s="23"/>
      <c r="E376" s="23" t="s">
        <v>800</v>
      </c>
      <c r="F376" s="23">
        <v>1</v>
      </c>
    </row>
    <row r="377" customHeight="1" spans="1:6">
      <c r="A377" s="22">
        <v>45713</v>
      </c>
      <c r="B377" s="23"/>
      <c r="C377" s="23">
        <v>18054045679</v>
      </c>
      <c r="D377" s="23"/>
      <c r="E377" s="23" t="s">
        <v>1142</v>
      </c>
      <c r="F377" s="23">
        <v>1</v>
      </c>
    </row>
    <row r="378" customHeight="1" spans="1:6">
      <c r="A378" s="22">
        <v>45713</v>
      </c>
      <c r="B378" s="23" t="s">
        <v>1170</v>
      </c>
      <c r="C378" s="23">
        <v>18071449689</v>
      </c>
      <c r="D378" s="23"/>
      <c r="E378" s="23" t="s">
        <v>1142</v>
      </c>
      <c r="F378" s="23">
        <v>1</v>
      </c>
    </row>
    <row r="379" customHeight="1" spans="1:6">
      <c r="A379" s="22">
        <v>45713</v>
      </c>
      <c r="B379" s="23" t="s">
        <v>1171</v>
      </c>
      <c r="C379" s="23">
        <v>18937810582</v>
      </c>
      <c r="D379" s="23"/>
      <c r="E379" s="23" t="s">
        <v>983</v>
      </c>
      <c r="F379" s="23">
        <v>1</v>
      </c>
    </row>
    <row r="380" customHeight="1" spans="1:6">
      <c r="A380" s="22">
        <v>45713</v>
      </c>
      <c r="B380" s="23" t="s">
        <v>981</v>
      </c>
      <c r="C380" s="23">
        <v>1997158425</v>
      </c>
      <c r="D380" s="23"/>
      <c r="E380" s="23" t="s">
        <v>1172</v>
      </c>
      <c r="F380" s="23">
        <v>1</v>
      </c>
    </row>
    <row r="381" customHeight="1" spans="1:6">
      <c r="A381" s="22">
        <v>45713</v>
      </c>
      <c r="B381" s="23" t="s">
        <v>1173</v>
      </c>
      <c r="C381" s="23">
        <v>18759553982</v>
      </c>
      <c r="D381" s="23"/>
      <c r="E381" s="23" t="s">
        <v>1172</v>
      </c>
      <c r="F381" s="23">
        <v>1</v>
      </c>
    </row>
    <row r="382" customHeight="1" spans="1:6">
      <c r="A382" s="22">
        <v>45713</v>
      </c>
      <c r="B382" s="23" t="s">
        <v>1174</v>
      </c>
      <c r="C382" s="23">
        <v>15527604611</v>
      </c>
      <c r="D382" s="23"/>
      <c r="E382" s="23" t="s">
        <v>805</v>
      </c>
      <c r="F382" s="23">
        <v>1</v>
      </c>
    </row>
    <row r="383" customHeight="1" spans="1:6">
      <c r="A383" s="22">
        <v>45713</v>
      </c>
      <c r="B383" s="23" t="s">
        <v>1175</v>
      </c>
      <c r="C383" s="23">
        <v>13343588602</v>
      </c>
      <c r="D383" s="23"/>
      <c r="E383" s="23" t="s">
        <v>1176</v>
      </c>
      <c r="F383" s="23">
        <v>2</v>
      </c>
    </row>
    <row r="384" customHeight="1" spans="1:6">
      <c r="A384" s="22">
        <v>45713</v>
      </c>
      <c r="B384" s="23" t="s">
        <v>1177</v>
      </c>
      <c r="C384" s="23">
        <v>15527851216</v>
      </c>
      <c r="D384" s="23"/>
      <c r="E384" s="23" t="s">
        <v>773</v>
      </c>
      <c r="F384" s="23">
        <v>1</v>
      </c>
    </row>
    <row r="385" customHeight="1" spans="1:6">
      <c r="A385" s="22">
        <v>45713</v>
      </c>
      <c r="B385" s="23" t="s">
        <v>1025</v>
      </c>
      <c r="C385" s="23">
        <v>13929832195</v>
      </c>
      <c r="D385" s="23"/>
      <c r="E385" s="23" t="s">
        <v>1178</v>
      </c>
      <c r="F385" s="23">
        <v>2</v>
      </c>
    </row>
    <row r="386" customHeight="1" spans="1:6">
      <c r="A386" s="22">
        <v>45714</v>
      </c>
      <c r="B386" s="23" t="s">
        <v>1179</v>
      </c>
      <c r="C386" s="23">
        <v>17307229307</v>
      </c>
      <c r="D386" s="23"/>
      <c r="E386" s="23" t="s">
        <v>800</v>
      </c>
      <c r="F386" s="23">
        <v>1</v>
      </c>
    </row>
    <row r="387" customHeight="1" spans="1:6">
      <c r="A387" s="22">
        <v>45714</v>
      </c>
      <c r="B387" s="23" t="s">
        <v>1180</v>
      </c>
      <c r="C387" s="23">
        <v>19715417871</v>
      </c>
      <c r="D387" s="23"/>
      <c r="E387" s="23" t="s">
        <v>753</v>
      </c>
      <c r="F387" s="23">
        <v>1</v>
      </c>
    </row>
    <row r="388" customHeight="1" spans="1:6">
      <c r="A388" s="22">
        <v>45714</v>
      </c>
      <c r="B388" s="23" t="s">
        <v>1181</v>
      </c>
      <c r="C388" s="23">
        <v>15077467649</v>
      </c>
      <c r="D388" s="23"/>
      <c r="E388" s="23" t="s">
        <v>980</v>
      </c>
      <c r="F388" s="23">
        <v>1</v>
      </c>
    </row>
    <row r="389" customHeight="1" spans="1:6">
      <c r="A389" s="22">
        <v>45714</v>
      </c>
      <c r="B389" s="23" t="s">
        <v>1182</v>
      </c>
      <c r="C389" s="23"/>
      <c r="D389" s="23"/>
      <c r="E389" s="23" t="s">
        <v>800</v>
      </c>
      <c r="F389" s="23">
        <v>1</v>
      </c>
    </row>
    <row r="390" customHeight="1" spans="1:6">
      <c r="A390" s="22">
        <v>45714</v>
      </c>
      <c r="B390" s="23" t="s">
        <v>1183</v>
      </c>
      <c r="C390" s="23">
        <v>17753915765</v>
      </c>
      <c r="D390" s="23"/>
      <c r="E390" s="23" t="s">
        <v>800</v>
      </c>
      <c r="F390" s="23">
        <v>1</v>
      </c>
    </row>
    <row r="391" customHeight="1" spans="1:6">
      <c r="A391" s="22">
        <v>45714</v>
      </c>
      <c r="B391" s="23" t="s">
        <v>1184</v>
      </c>
      <c r="C391" s="23">
        <v>18682820116</v>
      </c>
      <c r="D391" s="23"/>
      <c r="E391" s="23" t="s">
        <v>1112</v>
      </c>
      <c r="F391" s="23">
        <v>1</v>
      </c>
    </row>
    <row r="392" customHeight="1" spans="1:6">
      <c r="A392" s="22">
        <v>45714</v>
      </c>
      <c r="B392" s="23" t="s">
        <v>1185</v>
      </c>
      <c r="C392" s="23">
        <v>15754865657</v>
      </c>
      <c r="D392" s="23"/>
      <c r="E392" s="23" t="s">
        <v>742</v>
      </c>
      <c r="F392" s="23">
        <v>1</v>
      </c>
    </row>
    <row r="393" customHeight="1" spans="1:6">
      <c r="A393" s="22">
        <v>45714</v>
      </c>
      <c r="B393" s="23" t="s">
        <v>1186</v>
      </c>
      <c r="C393" s="23">
        <v>13453704035</v>
      </c>
      <c r="D393" s="23"/>
      <c r="E393" s="23" t="s">
        <v>1142</v>
      </c>
      <c r="F393" s="23">
        <v>1</v>
      </c>
    </row>
    <row r="394" customHeight="1" spans="1:6">
      <c r="A394" s="22">
        <v>45714</v>
      </c>
      <c r="B394" s="23" t="s">
        <v>1187</v>
      </c>
      <c r="C394" s="23"/>
      <c r="D394" s="23"/>
      <c r="E394" s="23" t="s">
        <v>1188</v>
      </c>
      <c r="F394" s="23">
        <v>3</v>
      </c>
    </row>
    <row r="395" customHeight="1" spans="1:6">
      <c r="A395" s="22">
        <v>45714</v>
      </c>
      <c r="B395" s="23" t="s">
        <v>1189</v>
      </c>
      <c r="C395" s="23">
        <v>18088061218</v>
      </c>
      <c r="D395" s="23"/>
      <c r="E395" s="23" t="s">
        <v>725</v>
      </c>
      <c r="F395" s="23">
        <v>2</v>
      </c>
    </row>
    <row r="396" customHeight="1" spans="1:6">
      <c r="A396" s="22">
        <v>45714</v>
      </c>
      <c r="B396" s="23" t="s">
        <v>1190</v>
      </c>
      <c r="C396" s="23">
        <v>18024927453</v>
      </c>
      <c r="D396" s="23"/>
      <c r="E396" s="23" t="s">
        <v>1042</v>
      </c>
      <c r="F396" s="23">
        <v>3</v>
      </c>
    </row>
    <row r="397" customHeight="1" spans="1:6">
      <c r="A397" s="22">
        <v>45714</v>
      </c>
      <c r="B397" s="23" t="s">
        <v>1191</v>
      </c>
      <c r="C397" s="23">
        <v>15872716774</v>
      </c>
      <c r="D397" s="23"/>
      <c r="E397" s="23" t="s">
        <v>742</v>
      </c>
      <c r="F397" s="23">
        <v>1</v>
      </c>
    </row>
    <row r="398" customHeight="1" spans="1:6">
      <c r="A398" s="22">
        <v>45714</v>
      </c>
      <c r="B398" s="23" t="s">
        <v>1192</v>
      </c>
      <c r="C398" s="23">
        <v>15872700113</v>
      </c>
      <c r="D398" s="23"/>
      <c r="E398" s="23" t="s">
        <v>742</v>
      </c>
      <c r="F398" s="23">
        <v>1</v>
      </c>
    </row>
    <row r="399" customHeight="1" spans="1:6">
      <c r="A399" s="22">
        <v>45714</v>
      </c>
      <c r="B399" s="23" t="s">
        <v>1193</v>
      </c>
      <c r="C399" s="23">
        <v>15524807137</v>
      </c>
      <c r="D399" s="23"/>
      <c r="E399" s="23" t="s">
        <v>1188</v>
      </c>
      <c r="F399" s="23">
        <v>3</v>
      </c>
    </row>
    <row r="400" customHeight="1" spans="1:6">
      <c r="A400" s="22">
        <v>45714</v>
      </c>
      <c r="B400" s="23" t="s">
        <v>1194</v>
      </c>
      <c r="C400" s="23">
        <v>15327395973</v>
      </c>
      <c r="D400" s="23"/>
      <c r="E400" s="23" t="s">
        <v>753</v>
      </c>
      <c r="F400" s="23">
        <v>1</v>
      </c>
    </row>
    <row r="401" customHeight="1" spans="1:6">
      <c r="A401" s="22">
        <v>45714</v>
      </c>
      <c r="B401" s="23" t="s">
        <v>1195</v>
      </c>
      <c r="C401" s="23">
        <v>15926975551</v>
      </c>
      <c r="D401" s="23"/>
      <c r="E401" s="23" t="s">
        <v>1196</v>
      </c>
      <c r="F401" s="23">
        <v>1</v>
      </c>
    </row>
    <row r="402" customHeight="1" spans="1:6">
      <c r="A402" s="22">
        <v>45714</v>
      </c>
      <c r="B402" s="23" t="s">
        <v>1197</v>
      </c>
      <c r="C402" s="23">
        <v>18871024804</v>
      </c>
      <c r="D402" s="23"/>
      <c r="E402" s="23" t="s">
        <v>1196</v>
      </c>
      <c r="F402" s="23">
        <v>1</v>
      </c>
    </row>
    <row r="403" customHeight="1" spans="1:6">
      <c r="A403" s="22">
        <v>45715</v>
      </c>
      <c r="B403" s="23" t="s">
        <v>1198</v>
      </c>
      <c r="C403" s="23">
        <v>18059306630</v>
      </c>
      <c r="D403" s="23"/>
      <c r="E403" s="23" t="s">
        <v>1199</v>
      </c>
      <c r="F403" s="23">
        <v>2</v>
      </c>
    </row>
    <row r="404" customHeight="1" spans="1:6">
      <c r="A404" s="22">
        <v>45715</v>
      </c>
      <c r="B404" s="23" t="s">
        <v>1200</v>
      </c>
      <c r="C404" s="23">
        <v>18308944028</v>
      </c>
      <c r="D404" s="23"/>
      <c r="E404" s="23" t="s">
        <v>1064</v>
      </c>
      <c r="F404" s="23">
        <v>1</v>
      </c>
    </row>
    <row r="405" customHeight="1" spans="1:6">
      <c r="A405" s="22">
        <v>45715</v>
      </c>
      <c r="B405" s="23" t="s">
        <v>1201</v>
      </c>
      <c r="C405" s="23">
        <v>18108890306</v>
      </c>
      <c r="D405" s="23"/>
      <c r="E405" s="23" t="s">
        <v>940</v>
      </c>
      <c r="F405" s="23">
        <v>1</v>
      </c>
    </row>
    <row r="406" customHeight="1" spans="1:6">
      <c r="A406" s="22">
        <v>45715</v>
      </c>
      <c r="B406" s="23" t="s">
        <v>1202</v>
      </c>
      <c r="C406" s="23">
        <v>15153934727</v>
      </c>
      <c r="D406" s="23"/>
      <c r="E406" s="23" t="s">
        <v>1150</v>
      </c>
      <c r="F406" s="23">
        <v>1</v>
      </c>
    </row>
    <row r="407" customHeight="1" spans="1:6">
      <c r="A407" s="22">
        <v>45715</v>
      </c>
      <c r="B407" s="23" t="s">
        <v>1203</v>
      </c>
      <c r="C407" s="23">
        <v>15327328663</v>
      </c>
      <c r="D407" s="23"/>
      <c r="E407" s="23" t="s">
        <v>800</v>
      </c>
      <c r="F407" s="23">
        <v>1</v>
      </c>
    </row>
    <row r="408" customHeight="1" spans="1:6">
      <c r="A408" s="22">
        <v>45715</v>
      </c>
      <c r="B408" s="23" t="s">
        <v>1204</v>
      </c>
      <c r="C408" s="23">
        <v>18327239757</v>
      </c>
      <c r="D408" s="23"/>
      <c r="E408" s="23" t="s">
        <v>797</v>
      </c>
      <c r="F408" s="23">
        <v>1</v>
      </c>
    </row>
    <row r="409" customHeight="1" spans="1:6">
      <c r="A409" s="22">
        <v>45715</v>
      </c>
      <c r="B409" s="23" t="s">
        <v>1205</v>
      </c>
      <c r="C409" s="23">
        <v>13117135817</v>
      </c>
      <c r="D409" s="23"/>
      <c r="E409" s="23" t="s">
        <v>1206</v>
      </c>
      <c r="F409" s="23">
        <v>3</v>
      </c>
    </row>
    <row r="410" customHeight="1" spans="1:6">
      <c r="A410" s="22">
        <v>45715</v>
      </c>
      <c r="B410" s="23" t="s">
        <v>1207</v>
      </c>
      <c r="C410" s="23">
        <v>1907491746</v>
      </c>
      <c r="D410" s="23"/>
      <c r="E410" s="23" t="s">
        <v>1208</v>
      </c>
      <c r="F410" s="23">
        <v>3</v>
      </c>
    </row>
    <row r="411" customHeight="1" spans="1:6">
      <c r="A411" s="22">
        <v>45715</v>
      </c>
      <c r="B411" s="23" t="s">
        <v>1209</v>
      </c>
      <c r="C411" s="23">
        <v>15172825400</v>
      </c>
      <c r="D411" s="23"/>
      <c r="E411" s="23" t="s">
        <v>1196</v>
      </c>
      <c r="F411" s="23">
        <v>1</v>
      </c>
    </row>
    <row r="412" customHeight="1" spans="1:6">
      <c r="A412" s="22">
        <v>45715</v>
      </c>
      <c r="B412" s="23" t="s">
        <v>1210</v>
      </c>
      <c r="C412" s="23">
        <v>13793727357</v>
      </c>
      <c r="D412" s="23"/>
      <c r="E412" s="23" t="s">
        <v>1019</v>
      </c>
      <c r="F412" s="23">
        <v>1</v>
      </c>
    </row>
    <row r="413" customHeight="1" spans="1:6">
      <c r="A413" s="22">
        <v>45715</v>
      </c>
      <c r="B413" s="23" t="s">
        <v>1211</v>
      </c>
      <c r="C413" s="23">
        <v>17697176557</v>
      </c>
      <c r="D413" s="23"/>
      <c r="E413" s="23" t="s">
        <v>1064</v>
      </c>
      <c r="F413" s="23">
        <v>1</v>
      </c>
    </row>
    <row r="414" customHeight="1" spans="1:6">
      <c r="A414" s="22">
        <v>45715</v>
      </c>
      <c r="B414" s="23" t="s">
        <v>1212</v>
      </c>
      <c r="C414" s="23"/>
      <c r="D414" s="23"/>
      <c r="E414" s="23" t="s">
        <v>1213</v>
      </c>
      <c r="F414" s="23">
        <v>1</v>
      </c>
    </row>
    <row r="415" customHeight="1" spans="1:6">
      <c r="A415" s="22">
        <v>45715</v>
      </c>
      <c r="B415" s="23" t="s">
        <v>1214</v>
      </c>
      <c r="C415" s="23"/>
      <c r="D415" s="23"/>
      <c r="E415" s="23" t="s">
        <v>773</v>
      </c>
      <c r="F415" s="23">
        <v>1</v>
      </c>
    </row>
    <row r="416" customHeight="1" spans="1:6">
      <c r="A416" s="22">
        <v>45715</v>
      </c>
      <c r="B416" s="23" t="s">
        <v>1215</v>
      </c>
      <c r="C416" s="23">
        <v>13006397758</v>
      </c>
      <c r="D416" s="23"/>
      <c r="E416" s="23" t="s">
        <v>960</v>
      </c>
      <c r="F416" s="23">
        <v>1</v>
      </c>
    </row>
    <row r="417" customHeight="1" spans="1:6">
      <c r="A417" s="22">
        <v>45716</v>
      </c>
      <c r="B417" s="23" t="s">
        <v>1216</v>
      </c>
      <c r="C417" s="23">
        <v>13086878673</v>
      </c>
      <c r="D417" s="23"/>
      <c r="E417" s="23" t="s">
        <v>1064</v>
      </c>
      <c r="F417" s="23">
        <v>1</v>
      </c>
    </row>
    <row r="418" customHeight="1" spans="1:6">
      <c r="A418" s="22">
        <v>45716</v>
      </c>
      <c r="B418" s="23" t="s">
        <v>1217</v>
      </c>
      <c r="C418" s="23">
        <v>1817793541</v>
      </c>
      <c r="D418" s="23"/>
      <c r="E418" s="23" t="s">
        <v>753</v>
      </c>
      <c r="F418" s="23">
        <v>1</v>
      </c>
    </row>
    <row r="419" customHeight="1" spans="1:6">
      <c r="A419" s="22">
        <v>45716</v>
      </c>
      <c r="B419" s="23" t="s">
        <v>1218</v>
      </c>
      <c r="C419" s="23">
        <v>15346184400</v>
      </c>
      <c r="D419" s="23"/>
      <c r="E419" s="23" t="s">
        <v>1019</v>
      </c>
      <c r="F419" s="23">
        <v>1</v>
      </c>
    </row>
    <row r="420" customHeight="1" spans="1:6">
      <c r="A420" s="22">
        <v>45716</v>
      </c>
      <c r="B420" s="23" t="s">
        <v>1219</v>
      </c>
      <c r="C420" s="23">
        <v>18298197009</v>
      </c>
      <c r="D420" s="23"/>
      <c r="E420" s="23" t="s">
        <v>1112</v>
      </c>
      <c r="F420" s="23">
        <v>1</v>
      </c>
    </row>
    <row r="421" customHeight="1" spans="1:6">
      <c r="A421" s="22">
        <v>45716</v>
      </c>
      <c r="B421" s="23" t="s">
        <v>1220</v>
      </c>
      <c r="C421" s="23">
        <v>18347985418</v>
      </c>
      <c r="D421" s="23"/>
      <c r="E421" s="23" t="s">
        <v>1064</v>
      </c>
      <c r="F421" s="23">
        <v>1</v>
      </c>
    </row>
    <row r="422" customHeight="1" spans="1:6">
      <c r="A422" s="22">
        <v>45716</v>
      </c>
      <c r="B422" s="23" t="s">
        <v>1221</v>
      </c>
      <c r="C422" s="23">
        <v>13613150226</v>
      </c>
      <c r="D422" s="23"/>
      <c r="E422" s="23" t="s">
        <v>725</v>
      </c>
      <c r="F422" s="23">
        <v>2</v>
      </c>
    </row>
    <row r="423" customHeight="1" spans="1:6">
      <c r="A423" s="22">
        <v>45716</v>
      </c>
      <c r="B423" s="23" t="s">
        <v>1222</v>
      </c>
      <c r="C423" s="23">
        <v>15133820657</v>
      </c>
      <c r="D423" s="23"/>
      <c r="E423" s="23" t="s">
        <v>725</v>
      </c>
      <c r="F423" s="23">
        <v>2</v>
      </c>
    </row>
    <row r="424" customHeight="1" spans="1:6">
      <c r="A424" s="22">
        <v>45716</v>
      </c>
      <c r="B424" s="23" t="s">
        <v>1223</v>
      </c>
      <c r="C424" s="23">
        <v>15997871531</v>
      </c>
      <c r="D424" s="23"/>
      <c r="E424" s="23" t="s">
        <v>1224</v>
      </c>
      <c r="F424" s="23">
        <v>3</v>
      </c>
    </row>
    <row r="425" customHeight="1" spans="1:6">
      <c r="A425" s="22">
        <v>45716</v>
      </c>
      <c r="B425" s="23" t="s">
        <v>1225</v>
      </c>
      <c r="C425" s="23">
        <v>1876075634</v>
      </c>
      <c r="D425" s="23"/>
      <c r="E425" s="23" t="s">
        <v>131</v>
      </c>
      <c r="F425" s="23">
        <v>1</v>
      </c>
    </row>
    <row r="426" customHeight="1" spans="1:6">
      <c r="A426" s="22">
        <v>45716</v>
      </c>
      <c r="B426" s="23" t="s">
        <v>1226</v>
      </c>
      <c r="C426" s="23">
        <v>1876075634</v>
      </c>
      <c r="D426" s="23"/>
      <c r="E426" s="23" t="s">
        <v>131</v>
      </c>
      <c r="F426" s="23">
        <v>1</v>
      </c>
    </row>
    <row r="427" customHeight="1" spans="1:6">
      <c r="A427" s="22">
        <v>45716</v>
      </c>
      <c r="B427" s="23" t="s">
        <v>1227</v>
      </c>
      <c r="C427" s="23"/>
      <c r="D427" s="23"/>
      <c r="E427" s="23" t="s">
        <v>753</v>
      </c>
      <c r="F427" s="23">
        <v>1</v>
      </c>
    </row>
    <row r="428" customHeight="1" spans="1:6">
      <c r="A428" s="22">
        <v>45716</v>
      </c>
      <c r="B428" s="23" t="s">
        <v>1228</v>
      </c>
      <c r="C428" s="23">
        <v>1592723117</v>
      </c>
      <c r="D428" s="23"/>
      <c r="E428" s="23" t="s">
        <v>1196</v>
      </c>
      <c r="F428" s="23">
        <v>1</v>
      </c>
    </row>
    <row r="429" customHeight="1" spans="1:6">
      <c r="A429" s="22">
        <v>45716</v>
      </c>
      <c r="B429" s="23" t="s">
        <v>1229</v>
      </c>
      <c r="C429" s="23">
        <v>13634787677</v>
      </c>
      <c r="D429" s="23"/>
      <c r="E429" s="23" t="s">
        <v>753</v>
      </c>
      <c r="F429" s="23">
        <v>1</v>
      </c>
    </row>
    <row r="430" customHeight="1" spans="1:6">
      <c r="A430" s="22">
        <v>45716</v>
      </c>
      <c r="B430" s="23" t="s">
        <v>1230</v>
      </c>
      <c r="C430" s="23">
        <v>1512403349</v>
      </c>
      <c r="D430" s="23"/>
      <c r="E430" s="23" t="s">
        <v>797</v>
      </c>
      <c r="F430" s="23">
        <v>1</v>
      </c>
    </row>
    <row r="431" customHeight="1" spans="1:6">
      <c r="A431" s="22">
        <v>45716</v>
      </c>
      <c r="B431" s="23" t="s">
        <v>1231</v>
      </c>
      <c r="C431" s="23">
        <v>18989845595</v>
      </c>
      <c r="D431" s="23"/>
      <c r="E431" s="23" t="s">
        <v>843</v>
      </c>
      <c r="F431" s="23">
        <v>1</v>
      </c>
    </row>
    <row r="432" customHeight="1" spans="1:6">
      <c r="A432" s="22">
        <v>45716</v>
      </c>
      <c r="B432" s="23" t="s">
        <v>1232</v>
      </c>
      <c r="C432" s="23">
        <v>18747679391</v>
      </c>
      <c r="D432" s="23"/>
      <c r="E432" s="23" t="s">
        <v>1196</v>
      </c>
      <c r="F432" s="23">
        <v>1</v>
      </c>
    </row>
    <row r="433" customHeight="1" spans="1:6">
      <c r="A433" s="22">
        <v>45716</v>
      </c>
      <c r="B433" s="23" t="s">
        <v>1233</v>
      </c>
      <c r="C433" s="23">
        <v>17740659771</v>
      </c>
      <c r="D433" s="23"/>
      <c r="E433" s="23" t="s">
        <v>1234</v>
      </c>
      <c r="F433" s="23">
        <v>3</v>
      </c>
    </row>
    <row r="434" customHeight="1" spans="1:6">
      <c r="A434" s="22">
        <v>45716</v>
      </c>
      <c r="B434" s="23" t="s">
        <v>1235</v>
      </c>
      <c r="C434" s="23">
        <v>13319928429</v>
      </c>
      <c r="D434" s="23"/>
      <c r="E434" s="23" t="s">
        <v>1236</v>
      </c>
      <c r="F434" s="23">
        <v>1</v>
      </c>
    </row>
    <row r="435" customHeight="1" spans="1:6">
      <c r="A435" s="22">
        <v>45716</v>
      </c>
      <c r="B435" s="23" t="s">
        <v>1237</v>
      </c>
      <c r="C435" s="23">
        <v>18380703950</v>
      </c>
      <c r="D435" s="23"/>
      <c r="E435" s="23" t="s">
        <v>1196</v>
      </c>
      <c r="F435" s="23">
        <v>1</v>
      </c>
    </row>
    <row r="436" customHeight="1" spans="1:6">
      <c r="A436" s="22">
        <v>45716</v>
      </c>
      <c r="B436" s="23" t="s">
        <v>1238</v>
      </c>
      <c r="C436" s="23">
        <v>1303615119</v>
      </c>
      <c r="D436" s="23"/>
      <c r="E436" s="23" t="s">
        <v>753</v>
      </c>
      <c r="F436" s="23">
        <v>1</v>
      </c>
    </row>
    <row r="437" customHeight="1" spans="1:6">
      <c r="A437" s="22">
        <v>45716</v>
      </c>
      <c r="B437" s="23" t="s">
        <v>1239</v>
      </c>
      <c r="C437" s="23">
        <v>13143624691</v>
      </c>
      <c r="D437" s="23"/>
      <c r="E437" s="23" t="s">
        <v>742</v>
      </c>
      <c r="F437" s="23">
        <v>1</v>
      </c>
    </row>
    <row r="438" customHeight="1" spans="1:6">
      <c r="A438" s="22">
        <v>45717</v>
      </c>
      <c r="B438" s="23" t="s">
        <v>1240</v>
      </c>
      <c r="C438" s="23">
        <v>13517385860</v>
      </c>
      <c r="D438" s="23"/>
      <c r="E438" s="23" t="s">
        <v>1112</v>
      </c>
      <c r="F438" s="23">
        <v>1</v>
      </c>
    </row>
    <row r="439" customHeight="1" spans="1:6">
      <c r="A439" s="22">
        <v>45717</v>
      </c>
      <c r="B439" s="23" t="s">
        <v>1241</v>
      </c>
      <c r="C439" s="23">
        <v>15527697751</v>
      </c>
      <c r="D439" s="23"/>
      <c r="E439" s="23" t="s">
        <v>1236</v>
      </c>
      <c r="F439" s="23">
        <v>1</v>
      </c>
    </row>
    <row r="440" customHeight="1" spans="1:6">
      <c r="A440" s="22">
        <v>45717</v>
      </c>
      <c r="B440" s="23" t="s">
        <v>1242</v>
      </c>
      <c r="C440" s="23">
        <v>1510950996</v>
      </c>
      <c r="D440" s="23"/>
      <c r="E440" s="23" t="s">
        <v>753</v>
      </c>
      <c r="F440" s="23">
        <v>1</v>
      </c>
    </row>
    <row r="441" customHeight="1" spans="1:6">
      <c r="A441" s="22">
        <v>45717</v>
      </c>
      <c r="B441" s="23" t="s">
        <v>1243</v>
      </c>
      <c r="C441" s="23">
        <v>15913811508</v>
      </c>
      <c r="D441" s="23"/>
      <c r="E441" s="23" t="s">
        <v>1196</v>
      </c>
      <c r="F441" s="23">
        <v>1</v>
      </c>
    </row>
    <row r="442" customHeight="1" spans="1:6">
      <c r="A442" s="22">
        <v>45717</v>
      </c>
      <c r="B442" s="23" t="s">
        <v>1244</v>
      </c>
      <c r="C442" s="23">
        <v>19909575486</v>
      </c>
      <c r="D442" s="23"/>
      <c r="E442" s="23" t="s">
        <v>1112</v>
      </c>
      <c r="F442" s="23">
        <v>1</v>
      </c>
    </row>
    <row r="443" customHeight="1" spans="1:6">
      <c r="A443" s="22">
        <v>45717</v>
      </c>
      <c r="B443" s="23" t="s">
        <v>1245</v>
      </c>
      <c r="C443" s="23">
        <v>1590776471</v>
      </c>
      <c r="D443" s="23"/>
      <c r="E443" s="23" t="s">
        <v>1076</v>
      </c>
      <c r="F443" s="23">
        <v>2</v>
      </c>
    </row>
    <row r="444" customHeight="1" spans="1:6">
      <c r="A444" s="22">
        <v>45717</v>
      </c>
      <c r="B444" s="23" t="s">
        <v>1246</v>
      </c>
      <c r="C444" s="23">
        <v>15327892811</v>
      </c>
      <c r="D444" s="23"/>
      <c r="E444" s="23" t="s">
        <v>1247</v>
      </c>
      <c r="F444" s="23">
        <v>1</v>
      </c>
    </row>
    <row r="445" customHeight="1" spans="1:6">
      <c r="A445" s="22">
        <v>45717</v>
      </c>
      <c r="B445" s="23" t="s">
        <v>1248</v>
      </c>
      <c r="C445" s="23">
        <v>18904684056</v>
      </c>
      <c r="D445" s="23"/>
      <c r="E445" s="23" t="s">
        <v>1112</v>
      </c>
      <c r="F445" s="23">
        <v>1</v>
      </c>
    </row>
    <row r="446" customHeight="1" spans="1:6">
      <c r="A446" s="22">
        <v>45717</v>
      </c>
      <c r="B446" s="23" t="s">
        <v>1249</v>
      </c>
      <c r="C446" s="23">
        <v>18302783214</v>
      </c>
      <c r="D446" s="23"/>
      <c r="E446" s="23" t="s">
        <v>1236</v>
      </c>
      <c r="F446" s="23">
        <v>1</v>
      </c>
    </row>
    <row r="447" customHeight="1" spans="1:6">
      <c r="A447" s="22">
        <v>45717</v>
      </c>
      <c r="B447" s="23" t="s">
        <v>846</v>
      </c>
      <c r="C447" s="23">
        <v>15571860306</v>
      </c>
      <c r="D447" s="23"/>
      <c r="E447" s="23" t="s">
        <v>753</v>
      </c>
      <c r="F447" s="23">
        <v>1</v>
      </c>
    </row>
    <row r="448" customHeight="1" spans="1:6">
      <c r="A448" s="22">
        <v>45717</v>
      </c>
      <c r="B448" s="23" t="s">
        <v>1250</v>
      </c>
      <c r="C448" s="23">
        <v>15284741002</v>
      </c>
      <c r="D448" s="23"/>
      <c r="E448" s="23" t="s">
        <v>1251</v>
      </c>
      <c r="F448" s="23">
        <v>3</v>
      </c>
    </row>
    <row r="449" customHeight="1" spans="1:6">
      <c r="A449" s="22">
        <v>45717</v>
      </c>
      <c r="B449" s="23" t="s">
        <v>1252</v>
      </c>
      <c r="C449" s="23">
        <v>19506151387</v>
      </c>
      <c r="D449" s="23"/>
      <c r="E449" s="23" t="s">
        <v>773</v>
      </c>
      <c r="F449" s="23">
        <v>1</v>
      </c>
    </row>
    <row r="450" customHeight="1" spans="1:6">
      <c r="A450" s="22">
        <v>45717</v>
      </c>
      <c r="B450" s="23" t="s">
        <v>1253</v>
      </c>
      <c r="C450" s="23">
        <v>18972410787</v>
      </c>
      <c r="D450" s="23"/>
      <c r="E450" s="23" t="s">
        <v>1064</v>
      </c>
      <c r="F450" s="23">
        <v>1</v>
      </c>
    </row>
    <row r="451" customHeight="1" spans="1:6">
      <c r="A451" s="22">
        <v>45717</v>
      </c>
      <c r="B451" s="23" t="s">
        <v>944</v>
      </c>
      <c r="C451" s="23">
        <v>18571515186</v>
      </c>
      <c r="D451" s="23"/>
      <c r="E451" s="23" t="s">
        <v>1254</v>
      </c>
      <c r="F451" s="23">
        <v>2</v>
      </c>
    </row>
    <row r="452" customHeight="1" spans="1:6">
      <c r="A452" s="22">
        <v>45719</v>
      </c>
      <c r="B452" s="23" t="s">
        <v>1255</v>
      </c>
      <c r="C452" s="23">
        <v>17752441211</v>
      </c>
      <c r="D452" s="23"/>
      <c r="E452" s="23" t="s">
        <v>989</v>
      </c>
      <c r="F452" s="23">
        <v>2</v>
      </c>
    </row>
    <row r="453" customHeight="1" spans="1:6">
      <c r="A453" s="22">
        <v>45720</v>
      </c>
      <c r="B453" s="23" t="s">
        <v>1256</v>
      </c>
      <c r="C453" s="23">
        <v>13486885898</v>
      </c>
      <c r="D453" s="23"/>
      <c r="E453" s="23" t="s">
        <v>1257</v>
      </c>
      <c r="F453" s="23">
        <v>3</v>
      </c>
    </row>
    <row r="454" customHeight="1" spans="1:6">
      <c r="A454" s="22">
        <v>45720</v>
      </c>
      <c r="B454" s="23" t="s">
        <v>1258</v>
      </c>
      <c r="C454" s="23">
        <v>18885630634</v>
      </c>
      <c r="D454" s="23"/>
      <c r="E454" s="23" t="s">
        <v>1254</v>
      </c>
      <c r="F454" s="23">
        <v>2</v>
      </c>
    </row>
    <row r="455" customHeight="1" spans="1:6">
      <c r="A455" s="22">
        <v>45721</v>
      </c>
      <c r="B455" s="23" t="s">
        <v>1259</v>
      </c>
      <c r="C455" s="23">
        <v>18671690925</v>
      </c>
      <c r="D455" s="23"/>
      <c r="E455" s="23" t="s">
        <v>1112</v>
      </c>
      <c r="F455" s="23">
        <v>4</v>
      </c>
    </row>
    <row r="456" customHeight="1" spans="1:6">
      <c r="A456" s="22">
        <v>45721</v>
      </c>
      <c r="B456" s="23" t="s">
        <v>1260</v>
      </c>
      <c r="C456" s="23">
        <v>17507118912</v>
      </c>
      <c r="D456" s="23"/>
      <c r="E456" s="23" t="s">
        <v>843</v>
      </c>
      <c r="F456" s="23">
        <v>1</v>
      </c>
    </row>
    <row r="457" customHeight="1" spans="1:6">
      <c r="A457" s="22">
        <v>45721</v>
      </c>
      <c r="B457" s="23" t="s">
        <v>1261</v>
      </c>
      <c r="C457" s="23">
        <v>17548264826</v>
      </c>
      <c r="D457" s="23"/>
      <c r="E457" s="23" t="s">
        <v>773</v>
      </c>
      <c r="F457" s="23">
        <v>1</v>
      </c>
    </row>
    <row r="458" customHeight="1" spans="1:6">
      <c r="A458" s="22">
        <v>45721</v>
      </c>
      <c r="B458" s="23" t="s">
        <v>1262</v>
      </c>
      <c r="C458" s="23">
        <v>18071498130</v>
      </c>
      <c r="D458" s="23"/>
      <c r="E458" s="23" t="s">
        <v>1254</v>
      </c>
      <c r="F458" s="23">
        <v>2</v>
      </c>
    </row>
    <row r="459" customHeight="1" spans="1:6">
      <c r="A459" s="22">
        <v>45721</v>
      </c>
      <c r="B459" s="23" t="s">
        <v>1263</v>
      </c>
      <c r="C459" s="23">
        <v>18294719909</v>
      </c>
      <c r="D459" s="23"/>
      <c r="E459" s="23" t="s">
        <v>1254</v>
      </c>
      <c r="F459" s="23">
        <v>2</v>
      </c>
    </row>
    <row r="460" customHeight="1" spans="1:6">
      <c r="A460" s="22">
        <v>45721</v>
      </c>
      <c r="B460" s="23" t="s">
        <v>1264</v>
      </c>
      <c r="C460" s="23">
        <v>15969471006</v>
      </c>
      <c r="D460" s="23"/>
      <c r="E460" s="23" t="s">
        <v>1254</v>
      </c>
      <c r="F460" s="23">
        <v>2</v>
      </c>
    </row>
    <row r="461" customHeight="1" spans="1:6">
      <c r="A461" s="22">
        <v>45721</v>
      </c>
      <c r="B461" s="23" t="s">
        <v>1265</v>
      </c>
      <c r="C461" s="23">
        <v>15956020566</v>
      </c>
      <c r="D461" s="23"/>
      <c r="E461" s="23" t="s">
        <v>725</v>
      </c>
      <c r="F461" s="23">
        <v>2</v>
      </c>
    </row>
    <row r="462" customHeight="1" spans="1:6">
      <c r="A462" s="22">
        <v>45721</v>
      </c>
      <c r="B462" s="23" t="s">
        <v>1266</v>
      </c>
      <c r="C462" s="23">
        <v>13343526312</v>
      </c>
      <c r="D462" s="23"/>
      <c r="E462" s="23" t="s">
        <v>773</v>
      </c>
      <c r="F462" s="23">
        <v>1</v>
      </c>
    </row>
    <row r="463" customHeight="1" spans="1:6">
      <c r="A463" s="22">
        <v>45722</v>
      </c>
      <c r="B463" s="23" t="s">
        <v>1267</v>
      </c>
      <c r="C463" s="23"/>
      <c r="D463" s="23"/>
      <c r="E463" s="23" t="s">
        <v>725</v>
      </c>
      <c r="F463" s="23">
        <v>2</v>
      </c>
    </row>
    <row r="464" customHeight="1" spans="1:6">
      <c r="A464" s="22">
        <v>45722</v>
      </c>
      <c r="B464" s="23" t="s">
        <v>1268</v>
      </c>
      <c r="C464" s="23"/>
      <c r="D464" s="23"/>
      <c r="E464" s="23" t="s">
        <v>725</v>
      </c>
      <c r="F464" s="23">
        <v>2</v>
      </c>
    </row>
    <row r="465" customHeight="1" spans="1:6">
      <c r="A465" s="22">
        <v>45722</v>
      </c>
      <c r="B465" s="23" t="s">
        <v>523</v>
      </c>
      <c r="C465" s="23">
        <v>17371999873</v>
      </c>
      <c r="D465" s="23"/>
      <c r="E465" s="23" t="s">
        <v>753</v>
      </c>
      <c r="F465" s="23">
        <v>1</v>
      </c>
    </row>
    <row r="466" customHeight="1" spans="1:6">
      <c r="A466" s="22">
        <v>45723</v>
      </c>
      <c r="B466" s="23" t="s">
        <v>1252</v>
      </c>
      <c r="C466" s="23">
        <v>19506151387</v>
      </c>
      <c r="D466" s="23"/>
      <c r="E466" s="23" t="s">
        <v>843</v>
      </c>
      <c r="F466" s="23">
        <v>1</v>
      </c>
    </row>
    <row r="467" customHeight="1" spans="1:6">
      <c r="A467" s="22">
        <v>45724</v>
      </c>
      <c r="B467" s="23" t="s">
        <v>1269</v>
      </c>
      <c r="C467" s="23">
        <v>17698751052</v>
      </c>
      <c r="D467" s="23"/>
      <c r="E467" s="23" t="s">
        <v>725</v>
      </c>
      <c r="F467" s="23">
        <v>2</v>
      </c>
    </row>
    <row r="468" customHeight="1" spans="1:6">
      <c r="A468" s="22">
        <v>45724</v>
      </c>
      <c r="B468" s="23" t="s">
        <v>1270</v>
      </c>
      <c r="C468" s="23">
        <v>15337132509</v>
      </c>
      <c r="D468" s="23"/>
      <c r="E468" s="23" t="s">
        <v>1254</v>
      </c>
      <c r="F468" s="23">
        <v>2</v>
      </c>
    </row>
    <row r="469" customHeight="1" spans="1:6">
      <c r="A469" s="22">
        <v>45724</v>
      </c>
      <c r="B469" s="23" t="s">
        <v>1271</v>
      </c>
      <c r="C469" s="23">
        <v>18154455438</v>
      </c>
      <c r="D469" s="23"/>
      <c r="E469" s="23" t="s">
        <v>725</v>
      </c>
      <c r="F469" s="23">
        <v>2</v>
      </c>
    </row>
    <row r="470" customHeight="1" spans="1:6">
      <c r="A470" s="22">
        <v>45725</v>
      </c>
      <c r="B470" s="23" t="s">
        <v>1272</v>
      </c>
      <c r="C470" s="23">
        <v>13973161282</v>
      </c>
      <c r="D470" s="23"/>
      <c r="E470" s="23" t="s">
        <v>725</v>
      </c>
      <c r="F470" s="23">
        <v>2</v>
      </c>
    </row>
    <row r="471" customHeight="1" spans="1:6">
      <c r="A471" s="22">
        <v>45725</v>
      </c>
      <c r="B471" s="23" t="s">
        <v>1273</v>
      </c>
      <c r="C471" s="23">
        <v>18176737039</v>
      </c>
      <c r="D471" s="23"/>
      <c r="E471" s="23" t="s">
        <v>725</v>
      </c>
      <c r="F471" s="23">
        <v>2</v>
      </c>
    </row>
    <row r="472" customHeight="1" spans="1:6">
      <c r="A472" s="22">
        <v>45727</v>
      </c>
      <c r="B472" s="23" t="s">
        <v>1274</v>
      </c>
      <c r="C472" s="23">
        <v>15649557756</v>
      </c>
      <c r="D472" s="23"/>
      <c r="E472" s="23" t="s">
        <v>725</v>
      </c>
      <c r="F472" s="23">
        <v>2</v>
      </c>
    </row>
    <row r="473" customHeight="1" spans="1:6">
      <c r="A473" s="22">
        <v>45727</v>
      </c>
      <c r="B473" s="23" t="s">
        <v>1275</v>
      </c>
      <c r="C473" s="23">
        <v>15593121353</v>
      </c>
      <c r="D473" s="23"/>
      <c r="E473" s="23" t="s">
        <v>1254</v>
      </c>
      <c r="F473" s="23">
        <v>2</v>
      </c>
    </row>
    <row r="474" customHeight="1" spans="1:6">
      <c r="A474" s="22">
        <v>45727</v>
      </c>
      <c r="B474" s="23" t="s">
        <v>1276</v>
      </c>
      <c r="C474" s="23">
        <v>18086182576</v>
      </c>
      <c r="D474" s="23"/>
      <c r="E474" s="23" t="s">
        <v>725</v>
      </c>
      <c r="F474" s="23">
        <v>2</v>
      </c>
    </row>
    <row r="475" customHeight="1" spans="1:6">
      <c r="A475" s="22">
        <v>45727</v>
      </c>
      <c r="B475" s="23" t="s">
        <v>1277</v>
      </c>
      <c r="C475" s="23">
        <v>19830841608</v>
      </c>
      <c r="D475" s="23"/>
      <c r="E475" s="23" t="s">
        <v>725</v>
      </c>
      <c r="F475" s="23">
        <v>2</v>
      </c>
    </row>
    <row r="476" customHeight="1" spans="1:6">
      <c r="A476" s="22">
        <v>45727</v>
      </c>
      <c r="B476" s="23" t="s">
        <v>1278</v>
      </c>
      <c r="C476" s="23">
        <v>18172284470</v>
      </c>
      <c r="D476" s="23"/>
      <c r="E476" s="23" t="s">
        <v>725</v>
      </c>
      <c r="F476" s="23">
        <v>2</v>
      </c>
    </row>
    <row r="477" customHeight="1" spans="1:6">
      <c r="A477" s="22">
        <v>45729</v>
      </c>
      <c r="B477" s="23" t="s">
        <v>1279</v>
      </c>
      <c r="C477" s="23">
        <v>15074781701</v>
      </c>
      <c r="D477" s="23"/>
      <c r="E477" s="23" t="s">
        <v>725</v>
      </c>
      <c r="F477" s="23">
        <v>2</v>
      </c>
    </row>
    <row r="478" customHeight="1" spans="1:6">
      <c r="A478" s="22">
        <v>45729</v>
      </c>
      <c r="B478" s="23" t="s">
        <v>1280</v>
      </c>
      <c r="C478" s="23">
        <v>15987794075</v>
      </c>
      <c r="D478" s="23"/>
      <c r="E478" s="23" t="s">
        <v>1281</v>
      </c>
      <c r="F478" s="23">
        <v>3</v>
      </c>
    </row>
    <row r="479" customHeight="1" spans="1:6">
      <c r="A479" s="22">
        <v>45729</v>
      </c>
      <c r="B479" s="23" t="s">
        <v>1282</v>
      </c>
      <c r="C479" s="23">
        <v>18215637384</v>
      </c>
      <c r="D479" s="23"/>
      <c r="E479" s="23" t="s">
        <v>753</v>
      </c>
      <c r="F479" s="23">
        <v>1</v>
      </c>
    </row>
    <row r="480" customHeight="1" spans="1:6">
      <c r="A480" s="22">
        <v>45729</v>
      </c>
      <c r="B480" s="23" t="s">
        <v>1283</v>
      </c>
      <c r="C480" s="23">
        <v>18627777780</v>
      </c>
      <c r="D480" s="23"/>
      <c r="E480" s="23" t="s">
        <v>725</v>
      </c>
      <c r="F480" s="23">
        <v>2</v>
      </c>
    </row>
    <row r="481" customHeight="1" spans="1:6">
      <c r="A481" s="22">
        <v>45729</v>
      </c>
      <c r="B481" s="23" t="s">
        <v>523</v>
      </c>
      <c r="C481" s="23">
        <v>17371999873</v>
      </c>
      <c r="D481" s="23"/>
      <c r="E481" s="23" t="s">
        <v>980</v>
      </c>
      <c r="F481" s="23">
        <v>1</v>
      </c>
    </row>
    <row r="482" customHeight="1" spans="1:6">
      <c r="A482" s="22">
        <v>45729</v>
      </c>
      <c r="B482" s="23" t="s">
        <v>1284</v>
      </c>
      <c r="C482" s="23">
        <v>13030613020</v>
      </c>
      <c r="D482" s="23"/>
      <c r="E482" s="23" t="s">
        <v>1285</v>
      </c>
      <c r="F482" s="23">
        <v>2</v>
      </c>
    </row>
    <row r="483" customHeight="1" spans="1:6">
      <c r="A483" s="22">
        <v>45729</v>
      </c>
      <c r="B483" s="23" t="s">
        <v>1286</v>
      </c>
      <c r="C483" s="23">
        <v>19987210367</v>
      </c>
      <c r="D483" s="23"/>
      <c r="E483" s="23" t="s">
        <v>1287</v>
      </c>
      <c r="F483" s="23">
        <v>1</v>
      </c>
    </row>
    <row r="484" customHeight="1" spans="1:6">
      <c r="A484" s="22">
        <v>45729</v>
      </c>
      <c r="B484" s="23" t="s">
        <v>1288</v>
      </c>
      <c r="C484" s="23">
        <v>13759943705</v>
      </c>
      <c r="D484" s="23"/>
      <c r="E484" s="23" t="s">
        <v>962</v>
      </c>
      <c r="F484" s="23">
        <v>1</v>
      </c>
    </row>
    <row r="485" customHeight="1" spans="1:6">
      <c r="A485" s="22">
        <v>45730</v>
      </c>
      <c r="B485" s="23" t="s">
        <v>1289</v>
      </c>
      <c r="C485" s="23">
        <v>15034725995</v>
      </c>
      <c r="D485" s="23"/>
      <c r="E485" s="23" t="s">
        <v>773</v>
      </c>
      <c r="F485" s="23">
        <v>1</v>
      </c>
    </row>
    <row r="486" customHeight="1" spans="1:6">
      <c r="A486" s="22">
        <v>45730</v>
      </c>
      <c r="B486" s="23" t="s">
        <v>1290</v>
      </c>
      <c r="C486" s="23">
        <v>18290902122</v>
      </c>
      <c r="D486" s="23"/>
      <c r="E486" s="23" t="s">
        <v>742</v>
      </c>
      <c r="F486" s="23">
        <v>1</v>
      </c>
    </row>
    <row r="487" customHeight="1" spans="1:6">
      <c r="A487" s="22">
        <v>45730</v>
      </c>
      <c r="B487" s="23" t="s">
        <v>1291</v>
      </c>
      <c r="C487" s="23">
        <v>15148170960</v>
      </c>
      <c r="D487" s="23"/>
      <c r="E487" s="23" t="s">
        <v>800</v>
      </c>
      <c r="F487" s="23">
        <v>1</v>
      </c>
    </row>
    <row r="488" customHeight="1" spans="1:6">
      <c r="A488" s="22">
        <v>45730</v>
      </c>
      <c r="B488" s="23" t="s">
        <v>1292</v>
      </c>
      <c r="C488" s="23">
        <v>18172289058</v>
      </c>
      <c r="D488" s="23"/>
      <c r="E488" s="23" t="s">
        <v>936</v>
      </c>
      <c r="F488" s="23">
        <v>1</v>
      </c>
    </row>
    <row r="489" customHeight="1" spans="1:6">
      <c r="A489" s="22">
        <v>45730</v>
      </c>
      <c r="B489" s="23" t="s">
        <v>1293</v>
      </c>
      <c r="C489" s="23">
        <v>13514055286</v>
      </c>
      <c r="D489" s="23"/>
      <c r="E489" s="23" t="s">
        <v>980</v>
      </c>
      <c r="F489" s="23">
        <v>1</v>
      </c>
    </row>
    <row r="490" customHeight="1" spans="1:6">
      <c r="A490" s="22">
        <v>45730</v>
      </c>
      <c r="B490" s="23" t="s">
        <v>1294</v>
      </c>
      <c r="C490" s="23">
        <v>15034725995</v>
      </c>
      <c r="D490" s="23"/>
      <c r="E490" s="23" t="s">
        <v>962</v>
      </c>
      <c r="F490" s="23">
        <v>1</v>
      </c>
    </row>
    <row r="491" customHeight="1" spans="1:6">
      <c r="A491" s="22">
        <v>45730</v>
      </c>
      <c r="B491" s="23" t="s">
        <v>1289</v>
      </c>
      <c r="C491" s="144" t="s">
        <v>1295</v>
      </c>
      <c r="D491" s="23"/>
      <c r="E491" s="23" t="s">
        <v>1172</v>
      </c>
      <c r="F491" s="23">
        <v>1</v>
      </c>
    </row>
    <row r="492" customHeight="1" spans="1:6">
      <c r="A492" s="22">
        <v>45730</v>
      </c>
      <c r="B492" s="23" t="s">
        <v>1296</v>
      </c>
      <c r="C492" s="23">
        <v>15077730805</v>
      </c>
      <c r="D492" s="23"/>
      <c r="E492" s="23" t="s">
        <v>1297</v>
      </c>
      <c r="F492" s="23">
        <v>1</v>
      </c>
    </row>
    <row r="493" customHeight="1" spans="1:6">
      <c r="A493" s="22">
        <v>45730</v>
      </c>
      <c r="B493" s="23" t="s">
        <v>1298</v>
      </c>
      <c r="C493" s="23">
        <v>18199598655</v>
      </c>
      <c r="D493" s="23"/>
      <c r="E493" s="23" t="s">
        <v>980</v>
      </c>
      <c r="F493" s="23">
        <v>1</v>
      </c>
    </row>
    <row r="494" customHeight="1" spans="1:6">
      <c r="A494" s="22">
        <v>45730</v>
      </c>
      <c r="B494" s="23" t="s">
        <v>1158</v>
      </c>
      <c r="C494" s="23">
        <v>15997495145</v>
      </c>
      <c r="D494" s="23"/>
      <c r="E494" s="23" t="s">
        <v>797</v>
      </c>
      <c r="F494" s="23">
        <v>1</v>
      </c>
    </row>
    <row r="495" customHeight="1" spans="1:6">
      <c r="A495" s="22">
        <v>45730</v>
      </c>
      <c r="B495" s="23" t="s">
        <v>1299</v>
      </c>
      <c r="C495" s="23">
        <v>18643816276</v>
      </c>
      <c r="D495" s="23"/>
      <c r="E495" s="23" t="s">
        <v>753</v>
      </c>
      <c r="F495" s="23">
        <v>1</v>
      </c>
    </row>
    <row r="496" customHeight="1" spans="1:6">
      <c r="A496" s="22">
        <v>45730</v>
      </c>
      <c r="B496" s="23" t="s">
        <v>1300</v>
      </c>
      <c r="C496" s="23">
        <v>15236391919</v>
      </c>
      <c r="D496" s="23"/>
      <c r="E496" s="23" t="s">
        <v>831</v>
      </c>
      <c r="F496" s="23">
        <v>1</v>
      </c>
    </row>
    <row r="497" customHeight="1" spans="1:6">
      <c r="A497" s="22">
        <v>45730</v>
      </c>
      <c r="B497" s="23" t="s">
        <v>1301</v>
      </c>
      <c r="C497" s="23">
        <v>13044857720</v>
      </c>
      <c r="D497" s="23"/>
      <c r="E497" s="23" t="s">
        <v>1297</v>
      </c>
      <c r="F497" s="23">
        <v>1</v>
      </c>
    </row>
    <row r="498" customHeight="1" spans="1:6">
      <c r="A498" s="22">
        <v>45730</v>
      </c>
      <c r="B498" s="23" t="s">
        <v>1302</v>
      </c>
      <c r="C498" s="23">
        <v>19356181945</v>
      </c>
      <c r="D498" s="23"/>
      <c r="E498" s="23" t="s">
        <v>800</v>
      </c>
      <c r="F498" s="23">
        <v>1</v>
      </c>
    </row>
    <row r="499" customHeight="1" spans="1:6">
      <c r="A499" s="22">
        <v>45730</v>
      </c>
      <c r="B499" s="23" t="s">
        <v>1303</v>
      </c>
      <c r="C499" s="23">
        <v>15209593380</v>
      </c>
      <c r="D499" s="23"/>
      <c r="E499" s="23" t="s">
        <v>980</v>
      </c>
      <c r="F499" s="23">
        <v>1</v>
      </c>
    </row>
    <row r="500" customHeight="1" spans="1:6">
      <c r="A500" s="22">
        <v>45730</v>
      </c>
      <c r="B500" s="23" t="s">
        <v>1304</v>
      </c>
      <c r="C500" s="23">
        <v>18972419790</v>
      </c>
      <c r="D500" s="23"/>
      <c r="E500" s="23" t="s">
        <v>980</v>
      </c>
      <c r="F500" s="23">
        <v>1</v>
      </c>
    </row>
    <row r="501" customHeight="1" spans="1:6">
      <c r="A501" s="22">
        <v>45730</v>
      </c>
      <c r="B501" s="23" t="s">
        <v>1305</v>
      </c>
      <c r="C501" s="23">
        <v>18627105982</v>
      </c>
      <c r="D501" s="23"/>
      <c r="E501" s="23" t="s">
        <v>980</v>
      </c>
      <c r="F501" s="23">
        <v>1</v>
      </c>
    </row>
    <row r="502" customHeight="1" spans="1:6">
      <c r="A502" s="22">
        <v>45730</v>
      </c>
      <c r="B502" s="23" t="s">
        <v>1306</v>
      </c>
      <c r="C502" s="23">
        <v>18686202356</v>
      </c>
      <c r="D502" s="23"/>
      <c r="E502" s="23" t="s">
        <v>1307</v>
      </c>
      <c r="F502" s="23"/>
    </row>
    <row r="503" customHeight="1" spans="1:6">
      <c r="A503" s="22">
        <v>45730</v>
      </c>
      <c r="B503" s="23" t="s">
        <v>1308</v>
      </c>
      <c r="C503" s="23">
        <v>13107739751</v>
      </c>
      <c r="D503" s="23"/>
      <c r="E503" s="23" t="s">
        <v>1307</v>
      </c>
      <c r="F503" s="23"/>
    </row>
    <row r="504" customHeight="1" spans="1:6">
      <c r="A504" s="22">
        <v>45730</v>
      </c>
      <c r="B504" s="23" t="s">
        <v>729</v>
      </c>
      <c r="C504" s="23">
        <v>18256906149</v>
      </c>
      <c r="D504" s="23"/>
      <c r="E504" s="23" t="s">
        <v>1309</v>
      </c>
      <c r="F504" s="23">
        <v>2</v>
      </c>
    </row>
    <row r="505" customHeight="1" spans="1:6">
      <c r="A505" s="22">
        <v>45730</v>
      </c>
      <c r="B505" s="23" t="s">
        <v>1310</v>
      </c>
      <c r="C505" s="23">
        <v>19283867173</v>
      </c>
      <c r="D505" s="23"/>
      <c r="E505" s="23" t="s">
        <v>1311</v>
      </c>
      <c r="F505" s="23">
        <v>2</v>
      </c>
    </row>
    <row r="506" customHeight="1" spans="1:6">
      <c r="A506" s="22">
        <v>45730</v>
      </c>
      <c r="B506" s="23" t="s">
        <v>1263</v>
      </c>
      <c r="C506" s="23">
        <v>18294219909</v>
      </c>
      <c r="D506" s="23"/>
      <c r="E506" s="23" t="s">
        <v>742</v>
      </c>
      <c r="F506" s="23">
        <v>1</v>
      </c>
    </row>
    <row r="507" customHeight="1" spans="1:6">
      <c r="A507" s="22">
        <v>45730</v>
      </c>
      <c r="B507" s="23" t="s">
        <v>1312</v>
      </c>
      <c r="C507" s="23">
        <v>18785578167</v>
      </c>
      <c r="D507" s="23"/>
      <c r="E507" s="23" t="s">
        <v>980</v>
      </c>
      <c r="F507" s="23">
        <v>1</v>
      </c>
    </row>
    <row r="508" customHeight="1" spans="1:6">
      <c r="A508" s="22">
        <v>45730</v>
      </c>
      <c r="B508" s="23" t="s">
        <v>1313</v>
      </c>
      <c r="C508" s="23">
        <v>15987000171</v>
      </c>
      <c r="D508" s="23"/>
      <c r="E508" s="23" t="s">
        <v>1287</v>
      </c>
      <c r="F508" s="23">
        <v>1</v>
      </c>
    </row>
    <row r="509" customHeight="1" spans="1:6">
      <c r="A509" s="22">
        <v>45730</v>
      </c>
      <c r="B509" s="23" t="s">
        <v>1314</v>
      </c>
      <c r="C509" s="23">
        <v>15289642670</v>
      </c>
      <c r="D509" s="23"/>
      <c r="E509" s="23" t="s">
        <v>980</v>
      </c>
      <c r="F509" s="23">
        <v>1</v>
      </c>
    </row>
    <row r="510" customHeight="1" spans="1:6">
      <c r="A510" s="22">
        <v>45730</v>
      </c>
      <c r="B510" s="23" t="s">
        <v>1315</v>
      </c>
      <c r="C510" s="23">
        <v>18271828104</v>
      </c>
      <c r="D510" s="23"/>
      <c r="E510" s="23" t="s">
        <v>800</v>
      </c>
      <c r="F510" s="23">
        <v>1</v>
      </c>
    </row>
    <row r="511" customHeight="1" spans="1:6">
      <c r="A511" s="22">
        <v>45730</v>
      </c>
      <c r="B511" s="23" t="s">
        <v>1316</v>
      </c>
      <c r="C511" s="23">
        <v>15527771956</v>
      </c>
      <c r="D511" s="23"/>
      <c r="E511" s="23" t="s">
        <v>831</v>
      </c>
      <c r="F511" s="23">
        <v>1</v>
      </c>
    </row>
    <row r="512" customHeight="1" spans="1:6">
      <c r="A512" s="22">
        <v>45730</v>
      </c>
      <c r="B512" s="23" t="s">
        <v>1317</v>
      </c>
      <c r="C512" s="23">
        <v>13397463890</v>
      </c>
      <c r="D512" s="23"/>
      <c r="E512" s="23" t="s">
        <v>960</v>
      </c>
      <c r="F512" s="23">
        <v>1</v>
      </c>
    </row>
    <row r="513" customHeight="1" spans="1:6">
      <c r="A513" s="22">
        <v>45730</v>
      </c>
      <c r="B513" s="23" t="s">
        <v>1318</v>
      </c>
      <c r="C513" s="23">
        <v>13163364612</v>
      </c>
      <c r="D513" s="23"/>
      <c r="E513" s="23" t="s">
        <v>1319</v>
      </c>
      <c r="F513" s="23">
        <v>2</v>
      </c>
    </row>
    <row r="514" customHeight="1" spans="1:6">
      <c r="A514" s="22">
        <v>45730</v>
      </c>
      <c r="B514" s="23" t="s">
        <v>1320</v>
      </c>
      <c r="C514" s="23">
        <v>13647825026</v>
      </c>
      <c r="D514" s="23"/>
      <c r="E514" s="23" t="s">
        <v>1297</v>
      </c>
      <c r="F514" s="23">
        <v>1</v>
      </c>
    </row>
    <row r="515" customHeight="1" spans="1:6">
      <c r="A515" s="22">
        <v>45730</v>
      </c>
      <c r="B515" s="23" t="s">
        <v>1321</v>
      </c>
      <c r="C515" s="23">
        <v>19371873414</v>
      </c>
      <c r="D515" s="23"/>
      <c r="E515" s="23" t="s">
        <v>797</v>
      </c>
      <c r="F515" s="23">
        <v>1</v>
      </c>
    </row>
    <row r="516" customHeight="1" spans="1:6">
      <c r="A516" s="22">
        <v>45730</v>
      </c>
      <c r="B516" s="23" t="s">
        <v>1322</v>
      </c>
      <c r="C516" s="23">
        <v>15205978273</v>
      </c>
      <c r="D516" s="23"/>
      <c r="E516" s="23" t="s">
        <v>1323</v>
      </c>
      <c r="F516" s="23">
        <v>1</v>
      </c>
    </row>
    <row r="517" customHeight="1" spans="1:6">
      <c r="A517" s="22">
        <v>45730</v>
      </c>
      <c r="B517" s="23" t="s">
        <v>1324</v>
      </c>
      <c r="C517" s="23">
        <v>15972162820</v>
      </c>
      <c r="D517" s="23"/>
      <c r="E517" s="23" t="s">
        <v>1325</v>
      </c>
      <c r="F517" s="23">
        <v>6</v>
      </c>
    </row>
    <row r="518" customHeight="1" spans="1:6">
      <c r="A518" s="22">
        <v>45730</v>
      </c>
      <c r="B518" s="23" t="s">
        <v>1326</v>
      </c>
      <c r="C518" s="23">
        <v>18771013176</v>
      </c>
      <c r="D518" s="23"/>
      <c r="E518" s="23" t="s">
        <v>960</v>
      </c>
      <c r="F518" s="23">
        <v>1</v>
      </c>
    </row>
    <row r="519" customHeight="1" spans="1:6">
      <c r="A519" s="22">
        <v>45730</v>
      </c>
      <c r="B519" s="23" t="s">
        <v>1327</v>
      </c>
      <c r="C519" s="23">
        <v>18696179307</v>
      </c>
      <c r="D519" s="23"/>
      <c r="E519" s="23" t="s">
        <v>1297</v>
      </c>
      <c r="F519" s="23">
        <v>1</v>
      </c>
    </row>
    <row r="520" customHeight="1" spans="1:6">
      <c r="A520" s="22">
        <v>45730</v>
      </c>
      <c r="B520" s="23" t="s">
        <v>1328</v>
      </c>
      <c r="C520" s="23">
        <v>15926466641</v>
      </c>
      <c r="D520" s="23"/>
      <c r="E520" s="23" t="s">
        <v>753</v>
      </c>
      <c r="F520" s="23">
        <v>1</v>
      </c>
    </row>
    <row r="521" customHeight="1" spans="1:6">
      <c r="A521" s="22">
        <v>45730</v>
      </c>
      <c r="B521" s="23" t="s">
        <v>124</v>
      </c>
      <c r="C521" s="23">
        <v>13034487003</v>
      </c>
      <c r="D521" s="23"/>
      <c r="E521" s="23" t="s">
        <v>980</v>
      </c>
      <c r="F521" s="23">
        <v>1</v>
      </c>
    </row>
    <row r="522" customHeight="1" spans="1:6">
      <c r="A522" s="22">
        <v>45730</v>
      </c>
      <c r="B522" s="23" t="s">
        <v>1329</v>
      </c>
      <c r="C522" s="23">
        <v>17754411213</v>
      </c>
      <c r="D522" s="23"/>
      <c r="E522" s="23" t="s">
        <v>1330</v>
      </c>
      <c r="F522" s="23">
        <v>1</v>
      </c>
    </row>
    <row r="523" customHeight="1" spans="1:6">
      <c r="A523" s="22">
        <v>45730</v>
      </c>
      <c r="B523" s="23" t="s">
        <v>1331</v>
      </c>
      <c r="C523" s="23">
        <v>15271869295</v>
      </c>
      <c r="D523" s="23"/>
      <c r="E523" s="23" t="s">
        <v>1087</v>
      </c>
      <c r="F523" s="23">
        <v>1</v>
      </c>
    </row>
    <row r="524" customHeight="1" spans="1:6">
      <c r="A524" s="22">
        <v>45731</v>
      </c>
      <c r="B524" s="23" t="s">
        <v>1332</v>
      </c>
      <c r="C524" s="23">
        <v>15072951659</v>
      </c>
      <c r="D524" s="23"/>
      <c r="E524" s="23" t="s">
        <v>1330</v>
      </c>
      <c r="F524" s="23">
        <v>1</v>
      </c>
    </row>
    <row r="525" customHeight="1" spans="1:6">
      <c r="A525" s="22">
        <v>45731</v>
      </c>
      <c r="B525" s="23" t="s">
        <v>1333</v>
      </c>
      <c r="C525" s="23">
        <v>15376520136</v>
      </c>
      <c r="D525" s="23"/>
      <c r="E525" s="23" t="s">
        <v>773</v>
      </c>
      <c r="F525" s="23">
        <v>1</v>
      </c>
    </row>
    <row r="526" customHeight="1" spans="1:6">
      <c r="A526" s="22">
        <v>45731</v>
      </c>
      <c r="B526" s="23" t="s">
        <v>1334</v>
      </c>
      <c r="C526" s="23">
        <v>13264935311</v>
      </c>
      <c r="D526" s="23"/>
      <c r="E526" s="23" t="s">
        <v>980</v>
      </c>
      <c r="F526" s="23">
        <v>1</v>
      </c>
    </row>
    <row r="527" customHeight="1" spans="1:6">
      <c r="A527" s="22">
        <v>45731</v>
      </c>
      <c r="B527" s="23" t="s">
        <v>1335</v>
      </c>
      <c r="C527" s="23">
        <v>15808076880</v>
      </c>
      <c r="D527" s="23"/>
      <c r="E527" s="23" t="s">
        <v>1336</v>
      </c>
      <c r="F527" s="23">
        <v>3</v>
      </c>
    </row>
    <row r="528" customHeight="1" spans="1:6">
      <c r="A528" s="22">
        <v>45731</v>
      </c>
      <c r="B528" s="23" t="s">
        <v>1337</v>
      </c>
      <c r="C528" s="23">
        <v>15368508593</v>
      </c>
      <c r="D528" s="23"/>
      <c r="E528" s="23" t="s">
        <v>800</v>
      </c>
      <c r="F528" s="23">
        <v>1</v>
      </c>
    </row>
    <row r="529" customHeight="1" spans="1:6">
      <c r="A529" s="22">
        <v>45731</v>
      </c>
      <c r="B529" s="23" t="s">
        <v>1338</v>
      </c>
      <c r="C529" s="23">
        <v>13581419752</v>
      </c>
      <c r="D529" s="23"/>
      <c r="E529" s="23" t="s">
        <v>797</v>
      </c>
      <c r="F529" s="23">
        <v>1</v>
      </c>
    </row>
    <row r="530" customHeight="1" spans="1:6">
      <c r="A530" s="22">
        <v>45731</v>
      </c>
      <c r="B530" s="23" t="s">
        <v>1339</v>
      </c>
      <c r="C530" s="23">
        <v>15587617697</v>
      </c>
      <c r="D530" s="23"/>
      <c r="E530" s="23" t="s">
        <v>831</v>
      </c>
      <c r="F530" s="23">
        <v>1</v>
      </c>
    </row>
    <row r="531" customHeight="1" spans="1:6">
      <c r="A531" s="22">
        <v>45731</v>
      </c>
      <c r="B531" s="23" t="s">
        <v>1340</v>
      </c>
      <c r="C531" s="23">
        <v>18872439230</v>
      </c>
      <c r="D531" s="23"/>
      <c r="E531" s="23" t="s">
        <v>980</v>
      </c>
      <c r="F531" s="23">
        <v>1</v>
      </c>
    </row>
    <row r="532" customHeight="1" spans="1:6">
      <c r="A532" s="22">
        <v>45731</v>
      </c>
      <c r="B532" s="23" t="s">
        <v>1341</v>
      </c>
      <c r="C532" s="23">
        <v>13296965569</v>
      </c>
      <c r="D532" s="23"/>
      <c r="E532" s="23" t="s">
        <v>1342</v>
      </c>
      <c r="F532" s="23">
        <v>1</v>
      </c>
    </row>
    <row r="533" customHeight="1" spans="1:6">
      <c r="A533" s="22">
        <v>45731</v>
      </c>
      <c r="B533" s="23" t="s">
        <v>1343</v>
      </c>
      <c r="C533" s="23">
        <v>13906428811</v>
      </c>
      <c r="D533" s="23"/>
      <c r="E533" s="23" t="s">
        <v>1342</v>
      </c>
      <c r="F533" s="23">
        <v>1</v>
      </c>
    </row>
    <row r="534" customHeight="1" spans="1:6">
      <c r="A534" s="22">
        <v>45731</v>
      </c>
      <c r="B534" s="23" t="s">
        <v>1344</v>
      </c>
      <c r="C534" s="23">
        <v>18073346005</v>
      </c>
      <c r="D534" s="23"/>
      <c r="E534" s="23" t="s">
        <v>753</v>
      </c>
      <c r="F534" s="23">
        <v>1</v>
      </c>
    </row>
    <row r="535" customHeight="1" spans="1:6">
      <c r="A535" s="22">
        <v>45731</v>
      </c>
      <c r="B535" s="23" t="s">
        <v>1345</v>
      </c>
      <c r="C535" s="23">
        <v>13689561018</v>
      </c>
      <c r="D535" s="23"/>
      <c r="E535" s="23" t="s">
        <v>980</v>
      </c>
      <c r="F535" s="23">
        <v>1</v>
      </c>
    </row>
    <row r="536" customHeight="1" spans="1:6">
      <c r="A536" s="22">
        <v>45731</v>
      </c>
      <c r="B536" s="23" t="s">
        <v>1346</v>
      </c>
      <c r="C536" s="23">
        <v>1308655339</v>
      </c>
      <c r="D536" s="23"/>
      <c r="E536" s="23" t="s">
        <v>960</v>
      </c>
      <c r="F536" s="23">
        <v>1</v>
      </c>
    </row>
    <row r="537" customHeight="1" spans="1:6">
      <c r="A537" s="22">
        <v>45731</v>
      </c>
      <c r="B537" s="23" t="s">
        <v>735</v>
      </c>
      <c r="C537" s="23">
        <v>15690837586</v>
      </c>
      <c r="D537" s="23"/>
      <c r="E537" s="23" t="s">
        <v>753</v>
      </c>
      <c r="F537" s="23">
        <v>1</v>
      </c>
    </row>
    <row r="538" customHeight="1" spans="1:6">
      <c r="A538" s="22">
        <v>45731</v>
      </c>
      <c r="B538" s="23" t="s">
        <v>736</v>
      </c>
      <c r="C538" s="23">
        <v>15037588659</v>
      </c>
      <c r="D538" s="23"/>
      <c r="E538" s="23" t="s">
        <v>980</v>
      </c>
      <c r="F538" s="23">
        <v>1</v>
      </c>
    </row>
    <row r="539" customHeight="1" spans="1:6">
      <c r="A539" s="22">
        <v>45731</v>
      </c>
      <c r="B539" s="23" t="s">
        <v>1283</v>
      </c>
      <c r="C539" s="23">
        <v>18627777806</v>
      </c>
      <c r="D539" s="23"/>
      <c r="E539" s="23" t="s">
        <v>980</v>
      </c>
      <c r="F539" s="23">
        <v>1</v>
      </c>
    </row>
    <row r="540" customHeight="1" spans="1:6">
      <c r="A540" s="22">
        <v>45731</v>
      </c>
      <c r="B540" s="23" t="s">
        <v>1318</v>
      </c>
      <c r="C540" s="23">
        <v>15307181545</v>
      </c>
      <c r="D540" s="23"/>
      <c r="E540" s="23" t="s">
        <v>1347</v>
      </c>
      <c r="F540" s="23">
        <v>2</v>
      </c>
    </row>
    <row r="541" customHeight="1" spans="1:6">
      <c r="A541" s="22">
        <v>45731</v>
      </c>
      <c r="B541" s="23" t="s">
        <v>1348</v>
      </c>
      <c r="C541" s="23">
        <v>18771702729</v>
      </c>
      <c r="D541" s="23"/>
      <c r="E541" s="23" t="s">
        <v>773</v>
      </c>
      <c r="F541" s="23">
        <v>1</v>
      </c>
    </row>
    <row r="542" customHeight="1" spans="1:6">
      <c r="A542" s="22">
        <v>45731</v>
      </c>
      <c r="B542" s="23" t="s">
        <v>1349</v>
      </c>
      <c r="C542" s="23">
        <v>15623907055</v>
      </c>
      <c r="D542" s="23"/>
      <c r="E542" s="23" t="s">
        <v>1112</v>
      </c>
      <c r="F542" s="23">
        <v>1</v>
      </c>
    </row>
    <row r="543" customHeight="1" spans="1:6">
      <c r="A543" s="22">
        <v>45731</v>
      </c>
      <c r="B543" s="23" t="s">
        <v>1262</v>
      </c>
      <c r="C543" s="23">
        <v>18071498130</v>
      </c>
      <c r="D543" s="23"/>
      <c r="E543" s="23" t="s">
        <v>797</v>
      </c>
      <c r="F543" s="23">
        <v>1</v>
      </c>
    </row>
    <row r="544" customHeight="1" spans="1:6">
      <c r="A544" s="22">
        <v>45731</v>
      </c>
      <c r="B544" s="23" t="s">
        <v>1350</v>
      </c>
      <c r="C544" s="23">
        <v>15807290058</v>
      </c>
      <c r="D544" s="23"/>
      <c r="E544" s="23" t="s">
        <v>1342</v>
      </c>
      <c r="F544" s="23">
        <v>1</v>
      </c>
    </row>
    <row r="545" customHeight="1" spans="1:6">
      <c r="A545" s="22">
        <v>45731</v>
      </c>
      <c r="B545" s="23" t="s">
        <v>1351</v>
      </c>
      <c r="C545" s="23">
        <v>19127971779</v>
      </c>
      <c r="D545" s="23"/>
      <c r="E545" s="23" t="s">
        <v>800</v>
      </c>
      <c r="F545" s="23">
        <v>1</v>
      </c>
    </row>
    <row r="546" customHeight="1" spans="1:6">
      <c r="A546" s="22">
        <v>45731</v>
      </c>
      <c r="B546" s="23" t="s">
        <v>1352</v>
      </c>
      <c r="C546" s="23">
        <v>15146139092</v>
      </c>
      <c r="D546" s="23"/>
      <c r="E546" s="23" t="s">
        <v>753</v>
      </c>
      <c r="F546" s="23">
        <v>1</v>
      </c>
    </row>
    <row r="547" customHeight="1" spans="1:6">
      <c r="A547" s="22">
        <v>45731</v>
      </c>
      <c r="B547" s="23" t="s">
        <v>1353</v>
      </c>
      <c r="C547" s="23">
        <v>18780187002</v>
      </c>
      <c r="D547" s="23"/>
      <c r="E547" s="23" t="s">
        <v>962</v>
      </c>
      <c r="F547" s="23">
        <v>1</v>
      </c>
    </row>
    <row r="548" customHeight="1" spans="1:6">
      <c r="A548" s="22">
        <v>45731</v>
      </c>
      <c r="B548" s="23" t="s">
        <v>1354</v>
      </c>
      <c r="C548" s="23">
        <v>15078828361</v>
      </c>
      <c r="D548" s="23"/>
      <c r="E548" s="23" t="s">
        <v>962</v>
      </c>
      <c r="F548" s="23">
        <v>1</v>
      </c>
    </row>
    <row r="549" customHeight="1" spans="1:6">
      <c r="A549" s="22">
        <v>45731</v>
      </c>
      <c r="B549" s="23" t="s">
        <v>102</v>
      </c>
      <c r="C549" s="23">
        <v>15703732927</v>
      </c>
      <c r="D549" s="23"/>
      <c r="E549" s="23" t="s">
        <v>773</v>
      </c>
      <c r="F549" s="23">
        <v>1</v>
      </c>
    </row>
    <row r="550" customHeight="1" spans="1:6">
      <c r="A550" s="22">
        <v>45731</v>
      </c>
      <c r="B550" s="23" t="s">
        <v>1355</v>
      </c>
      <c r="C550" s="23">
        <v>13986141971</v>
      </c>
      <c r="D550" s="23"/>
      <c r="E550" s="23" t="s">
        <v>800</v>
      </c>
      <c r="F550" s="23">
        <v>1</v>
      </c>
    </row>
    <row r="551" customHeight="1" spans="1:6">
      <c r="A551" s="22">
        <v>45731</v>
      </c>
      <c r="B551" s="23" t="s">
        <v>1356</v>
      </c>
      <c r="C551" s="23">
        <v>13197068785</v>
      </c>
      <c r="D551" s="23"/>
      <c r="E551" s="23" t="s">
        <v>960</v>
      </c>
      <c r="F551" s="23">
        <v>1</v>
      </c>
    </row>
    <row r="552" customHeight="1" spans="1:6">
      <c r="A552" s="22">
        <v>45731</v>
      </c>
      <c r="B552" s="23" t="s">
        <v>1357</v>
      </c>
      <c r="C552" s="23">
        <v>16609730077</v>
      </c>
      <c r="D552" s="23"/>
      <c r="E552" s="23" t="s">
        <v>1358</v>
      </c>
      <c r="F552" s="23">
        <v>1</v>
      </c>
    </row>
    <row r="553" customHeight="1" spans="1:6">
      <c r="A553" s="22">
        <v>45731</v>
      </c>
      <c r="B553" s="23" t="s">
        <v>1359</v>
      </c>
      <c r="C553" s="23">
        <v>15286228621</v>
      </c>
      <c r="D553" s="23"/>
      <c r="E553" s="23" t="s">
        <v>797</v>
      </c>
      <c r="F553" s="23">
        <v>1</v>
      </c>
    </row>
    <row r="554" customHeight="1" spans="1:6">
      <c r="A554" s="22">
        <v>45732</v>
      </c>
      <c r="B554" s="23" t="s">
        <v>1360</v>
      </c>
      <c r="C554" s="23">
        <v>18007215707</v>
      </c>
      <c r="D554" s="23"/>
      <c r="E554" s="23" t="s">
        <v>980</v>
      </c>
      <c r="F554" s="23">
        <v>1</v>
      </c>
    </row>
    <row r="555" customHeight="1" spans="1:6">
      <c r="A555" s="22">
        <v>45732</v>
      </c>
      <c r="B555" s="23" t="s">
        <v>1361</v>
      </c>
      <c r="C555" s="23">
        <v>17762556680</v>
      </c>
      <c r="D555" s="23"/>
      <c r="E555" s="23" t="s">
        <v>1362</v>
      </c>
      <c r="F555" s="23">
        <v>3</v>
      </c>
    </row>
    <row r="556" customHeight="1" spans="1:6">
      <c r="A556" s="22">
        <v>45732</v>
      </c>
      <c r="B556" s="23" t="s">
        <v>1363</v>
      </c>
      <c r="C556" s="23">
        <v>18711412125</v>
      </c>
      <c r="D556" s="23"/>
      <c r="E556" s="23" t="s">
        <v>753</v>
      </c>
      <c r="F556" s="23">
        <v>1</v>
      </c>
    </row>
    <row r="557" customHeight="1" spans="1:6">
      <c r="A557" s="22">
        <v>45732</v>
      </c>
      <c r="B557" s="23" t="s">
        <v>1364</v>
      </c>
      <c r="C557" s="23">
        <v>18607234017</v>
      </c>
      <c r="D557" s="23"/>
      <c r="E557" s="23" t="s">
        <v>773</v>
      </c>
      <c r="F557" s="23">
        <v>1</v>
      </c>
    </row>
    <row r="558" customHeight="1" spans="1:6">
      <c r="A558" s="22">
        <v>45732</v>
      </c>
      <c r="B558" s="23" t="s">
        <v>1365</v>
      </c>
      <c r="C558" s="23">
        <v>18607234617</v>
      </c>
      <c r="D558" s="23"/>
      <c r="E558" s="23" t="s">
        <v>962</v>
      </c>
      <c r="F558" s="23">
        <v>1</v>
      </c>
    </row>
    <row r="559" customHeight="1" spans="1:6">
      <c r="A559" s="22">
        <v>45732</v>
      </c>
      <c r="B559" s="23" t="s">
        <v>1366</v>
      </c>
      <c r="C559" s="23">
        <v>17671864552</v>
      </c>
      <c r="D559" s="23"/>
      <c r="E559" s="23" t="s">
        <v>843</v>
      </c>
      <c r="F559" s="23">
        <v>1</v>
      </c>
    </row>
    <row r="560" customHeight="1" spans="1:6">
      <c r="A560" s="22">
        <v>45732</v>
      </c>
      <c r="B560" s="23" t="s">
        <v>1367</v>
      </c>
      <c r="C560" s="23">
        <v>17667301236</v>
      </c>
      <c r="D560" s="23"/>
      <c r="E560" s="23" t="s">
        <v>773</v>
      </c>
      <c r="F560" s="23">
        <v>1</v>
      </c>
    </row>
    <row r="561" customHeight="1" spans="1:6">
      <c r="A561" s="22">
        <v>45732</v>
      </c>
      <c r="B561" s="23" t="s">
        <v>1368</v>
      </c>
      <c r="C561" s="23">
        <v>13082521500</v>
      </c>
      <c r="D561" s="23"/>
      <c r="E561" s="23" t="s">
        <v>773</v>
      </c>
      <c r="F561" s="23">
        <v>1</v>
      </c>
    </row>
    <row r="562" customHeight="1" spans="1:6">
      <c r="A562" s="22">
        <v>45732</v>
      </c>
      <c r="B562" s="23" t="s">
        <v>535</v>
      </c>
      <c r="C562" s="23">
        <v>17784152396</v>
      </c>
      <c r="D562" s="23"/>
      <c r="E562" s="23" t="s">
        <v>797</v>
      </c>
      <c r="F562" s="23">
        <v>1</v>
      </c>
    </row>
    <row r="563" customHeight="1" spans="1:6">
      <c r="A563" s="22">
        <v>45732</v>
      </c>
      <c r="B563" s="23" t="s">
        <v>646</v>
      </c>
      <c r="C563" s="23">
        <v>15927077690</v>
      </c>
      <c r="D563" s="23"/>
      <c r="E563" s="23" t="s">
        <v>1369</v>
      </c>
      <c r="F563" s="23">
        <v>1</v>
      </c>
    </row>
    <row r="564" customHeight="1" spans="1:6">
      <c r="A564" s="22">
        <v>45732</v>
      </c>
      <c r="B564" s="23" t="s">
        <v>1370</v>
      </c>
      <c r="C564" s="23">
        <v>18707288011</v>
      </c>
      <c r="D564" s="23"/>
      <c r="E564" s="23" t="s">
        <v>843</v>
      </c>
      <c r="F564" s="23">
        <v>1</v>
      </c>
    </row>
    <row r="565" customHeight="1" spans="1:6">
      <c r="A565" s="22">
        <v>45732</v>
      </c>
      <c r="B565" s="23" t="s">
        <v>1363</v>
      </c>
      <c r="C565" s="23">
        <v>18711412125</v>
      </c>
      <c r="D565" s="23"/>
      <c r="E565" s="23" t="s">
        <v>843</v>
      </c>
      <c r="F565" s="23">
        <v>1</v>
      </c>
    </row>
    <row r="566" customHeight="1" spans="1:6">
      <c r="A566" s="22">
        <v>45732</v>
      </c>
      <c r="B566" s="23" t="s">
        <v>1294</v>
      </c>
      <c r="C566" s="23">
        <v>15623373335</v>
      </c>
      <c r="D566" s="23"/>
      <c r="E566" s="23" t="s">
        <v>980</v>
      </c>
      <c r="F566" s="23">
        <v>1</v>
      </c>
    </row>
    <row r="567" customHeight="1" spans="1:6">
      <c r="A567" s="22">
        <v>45732</v>
      </c>
      <c r="B567" s="23" t="s">
        <v>1371</v>
      </c>
      <c r="C567" s="23">
        <v>18262308200</v>
      </c>
      <c r="D567" s="23"/>
      <c r="E567" s="23" t="s">
        <v>1112</v>
      </c>
      <c r="F567" s="23">
        <v>1</v>
      </c>
    </row>
    <row r="568" customHeight="1" spans="1:6">
      <c r="A568" s="22">
        <v>45732</v>
      </c>
      <c r="B568" s="23" t="s">
        <v>1372</v>
      </c>
      <c r="C568" s="23">
        <v>15974308696</v>
      </c>
      <c r="D568" s="23"/>
      <c r="E568" s="23" t="s">
        <v>1373</v>
      </c>
      <c r="F568" s="23">
        <v>2</v>
      </c>
    </row>
    <row r="569" customHeight="1" spans="1:6">
      <c r="A569" s="22">
        <v>45732</v>
      </c>
      <c r="B569" s="23" t="s">
        <v>1374</v>
      </c>
      <c r="C569" s="23">
        <v>16685904204</v>
      </c>
      <c r="D569" s="23"/>
      <c r="E569" s="23" t="s">
        <v>1373</v>
      </c>
      <c r="F569" s="23">
        <v>2</v>
      </c>
    </row>
    <row r="570" customHeight="1" spans="1:6">
      <c r="A570" s="22">
        <v>45732</v>
      </c>
      <c r="B570" s="23"/>
      <c r="C570" s="23">
        <v>18307220618</v>
      </c>
      <c r="D570" s="23"/>
      <c r="E570" s="23" t="s">
        <v>1196</v>
      </c>
      <c r="F570" s="23">
        <v>1</v>
      </c>
    </row>
    <row r="571" customHeight="1" spans="1:6">
      <c r="A571" s="22">
        <v>45733</v>
      </c>
      <c r="B571" s="23" t="s">
        <v>1375</v>
      </c>
      <c r="C571" s="23">
        <v>18087326431</v>
      </c>
      <c r="D571" s="23"/>
      <c r="E571" s="23" t="s">
        <v>773</v>
      </c>
      <c r="F571" s="23">
        <v>1</v>
      </c>
    </row>
    <row r="572" customHeight="1" spans="1:6">
      <c r="A572" s="22">
        <v>45734</v>
      </c>
      <c r="B572" s="23" t="s">
        <v>1376</v>
      </c>
      <c r="C572" s="23">
        <v>18093126986</v>
      </c>
      <c r="D572" s="23"/>
      <c r="E572" s="23" t="s">
        <v>940</v>
      </c>
      <c r="F572" s="23">
        <v>1</v>
      </c>
    </row>
    <row r="573" customHeight="1" spans="1:6">
      <c r="A573" s="22">
        <v>45734</v>
      </c>
      <c r="B573" s="23" t="s">
        <v>1377</v>
      </c>
      <c r="C573" s="23">
        <v>17786729329</v>
      </c>
      <c r="D573" s="23"/>
      <c r="E573" s="23" t="s">
        <v>1112</v>
      </c>
      <c r="F573" s="23">
        <v>8</v>
      </c>
    </row>
    <row r="574" customHeight="1" spans="1:6">
      <c r="A574" s="22">
        <v>45734</v>
      </c>
      <c r="B574" s="23" t="s">
        <v>777</v>
      </c>
      <c r="C574" s="23">
        <v>18849218812</v>
      </c>
      <c r="D574" s="23"/>
      <c r="E574" s="23" t="s">
        <v>1378</v>
      </c>
      <c r="F574" s="23">
        <v>1</v>
      </c>
    </row>
    <row r="575" customHeight="1" spans="1:6">
      <c r="A575" s="22">
        <v>45734</v>
      </c>
      <c r="B575" s="23" t="s">
        <v>1379</v>
      </c>
      <c r="C575" s="23"/>
      <c r="D575" s="23"/>
      <c r="E575" s="23" t="s">
        <v>753</v>
      </c>
      <c r="F575" s="23">
        <v>1</v>
      </c>
    </row>
    <row r="576" customHeight="1" spans="1:6">
      <c r="A576" s="22">
        <v>45737</v>
      </c>
      <c r="B576" s="23" t="s">
        <v>1380</v>
      </c>
      <c r="C576" s="23"/>
      <c r="D576" s="23"/>
      <c r="E576" s="23" t="s">
        <v>773</v>
      </c>
      <c r="F576" s="23">
        <v>1</v>
      </c>
    </row>
    <row r="577" customHeight="1" spans="1:6">
      <c r="A577" s="22">
        <v>45737</v>
      </c>
      <c r="B577" s="23" t="s">
        <v>1381</v>
      </c>
      <c r="C577" s="23">
        <v>15037379260</v>
      </c>
      <c r="D577" s="23"/>
      <c r="E577" s="23" t="s">
        <v>1087</v>
      </c>
      <c r="F577" s="23">
        <v>1</v>
      </c>
    </row>
    <row r="578" customHeight="1" spans="1:6">
      <c r="A578" s="22">
        <v>45738</v>
      </c>
      <c r="B578" s="23" t="s">
        <v>1382</v>
      </c>
      <c r="C578" s="23">
        <v>13163364612</v>
      </c>
      <c r="D578" s="23"/>
      <c r="E578" s="23" t="s">
        <v>800</v>
      </c>
      <c r="F578" s="23">
        <v>1</v>
      </c>
    </row>
    <row r="579" customHeight="1" spans="1:6">
      <c r="A579" s="22">
        <v>45738</v>
      </c>
      <c r="B579" s="23" t="s">
        <v>1383</v>
      </c>
      <c r="C579" s="23">
        <v>19122413585</v>
      </c>
      <c r="D579" s="23"/>
      <c r="E579" s="23" t="s">
        <v>980</v>
      </c>
      <c r="F579" s="23">
        <v>1</v>
      </c>
    </row>
    <row r="580" customHeight="1" spans="1:6">
      <c r="A580" s="22">
        <v>45738</v>
      </c>
      <c r="B580" s="23" t="s">
        <v>1384</v>
      </c>
      <c r="C580" s="23">
        <v>15614746591</v>
      </c>
      <c r="D580" s="23"/>
      <c r="E580" s="23" t="s">
        <v>1385</v>
      </c>
      <c r="F580" s="23">
        <v>3</v>
      </c>
    </row>
    <row r="581" customHeight="1" spans="1:6">
      <c r="A581" s="22">
        <v>45738</v>
      </c>
      <c r="B581" s="23" t="s">
        <v>1386</v>
      </c>
      <c r="C581" s="23">
        <v>13069555396</v>
      </c>
      <c r="D581" s="23"/>
      <c r="E581" s="23" t="s">
        <v>1387</v>
      </c>
      <c r="F581" s="23">
        <v>2</v>
      </c>
    </row>
    <row r="582" customHeight="1" spans="1:6">
      <c r="A582" s="22">
        <v>45738</v>
      </c>
      <c r="B582" s="23" t="s">
        <v>1388</v>
      </c>
      <c r="C582" s="23">
        <v>18655213176</v>
      </c>
      <c r="D582" s="23"/>
      <c r="E582" s="23" t="s">
        <v>1087</v>
      </c>
      <c r="F582" s="23">
        <v>1</v>
      </c>
    </row>
    <row r="583" customHeight="1" spans="1:6">
      <c r="A583" s="22">
        <v>45738</v>
      </c>
      <c r="B583" s="23"/>
      <c r="C583" s="23">
        <v>18372182331</v>
      </c>
      <c r="D583" s="23"/>
      <c r="E583" s="23" t="s">
        <v>797</v>
      </c>
      <c r="F583" s="23">
        <v>1</v>
      </c>
    </row>
    <row r="584" customHeight="1" spans="1:6">
      <c r="A584" s="22">
        <v>45738</v>
      </c>
      <c r="B584" s="23" t="s">
        <v>1389</v>
      </c>
      <c r="C584" s="23">
        <v>18372219455</v>
      </c>
      <c r="D584" s="23"/>
      <c r="E584" s="23" t="s">
        <v>795</v>
      </c>
      <c r="F584" s="23">
        <v>1</v>
      </c>
    </row>
    <row r="585" customHeight="1" spans="1:6">
      <c r="A585" s="22">
        <v>45738</v>
      </c>
      <c r="B585" s="23" t="s">
        <v>1390</v>
      </c>
      <c r="C585" s="23">
        <v>16671001962</v>
      </c>
      <c r="D585" s="23"/>
      <c r="E585" s="23" t="s">
        <v>980</v>
      </c>
      <c r="F585" s="23">
        <v>1</v>
      </c>
    </row>
    <row r="586" customHeight="1" spans="1:6">
      <c r="A586" s="22">
        <v>45738</v>
      </c>
      <c r="B586" s="23" t="s">
        <v>1391</v>
      </c>
      <c r="C586" s="23">
        <v>18170771473</v>
      </c>
      <c r="D586" s="23"/>
      <c r="E586" s="23" t="s">
        <v>980</v>
      </c>
      <c r="F586" s="23">
        <v>1</v>
      </c>
    </row>
    <row r="587" customHeight="1" spans="1:6">
      <c r="A587" s="22">
        <v>45738</v>
      </c>
      <c r="B587" s="23" t="s">
        <v>1392</v>
      </c>
      <c r="C587" s="23">
        <v>15276213717</v>
      </c>
      <c r="D587" s="23"/>
      <c r="E587" s="23" t="s">
        <v>942</v>
      </c>
      <c r="F587" s="23">
        <v>1</v>
      </c>
    </row>
    <row r="588" customHeight="1" spans="1:6">
      <c r="A588" s="22">
        <v>45738</v>
      </c>
      <c r="B588" s="23" t="s">
        <v>1393</v>
      </c>
      <c r="C588" s="23">
        <v>13164647453</v>
      </c>
      <c r="D588" s="23"/>
      <c r="E588" s="23" t="s">
        <v>940</v>
      </c>
      <c r="F588" s="23">
        <v>1</v>
      </c>
    </row>
    <row r="589" customHeight="1" spans="1:6">
      <c r="A589" s="22">
        <v>45738</v>
      </c>
      <c r="B589" s="23" t="s">
        <v>1394</v>
      </c>
      <c r="C589" s="23">
        <v>15174547834</v>
      </c>
      <c r="D589" s="23"/>
      <c r="E589" s="23" t="s">
        <v>835</v>
      </c>
      <c r="F589" s="23">
        <v>1</v>
      </c>
    </row>
    <row r="590" customHeight="1" spans="1:6">
      <c r="A590" s="22">
        <v>45738</v>
      </c>
      <c r="B590" s="23" t="s">
        <v>1395</v>
      </c>
      <c r="C590" s="23">
        <v>18687523367</v>
      </c>
      <c r="D590" s="23"/>
      <c r="E590" s="23" t="s">
        <v>940</v>
      </c>
      <c r="F590" s="23">
        <v>1</v>
      </c>
    </row>
    <row r="591" customHeight="1" spans="1:6">
      <c r="A591" s="22">
        <v>45738</v>
      </c>
      <c r="B591" s="23" t="s">
        <v>94</v>
      </c>
      <c r="C591" s="23">
        <v>15570469096</v>
      </c>
      <c r="D591" s="23"/>
      <c r="E591" s="23" t="s">
        <v>797</v>
      </c>
      <c r="F591" s="23">
        <v>1</v>
      </c>
    </row>
    <row r="592" customHeight="1" spans="1:6">
      <c r="A592" s="22">
        <v>45738</v>
      </c>
      <c r="B592" s="23" t="s">
        <v>1396</v>
      </c>
      <c r="C592" s="23">
        <v>13839982993</v>
      </c>
      <c r="D592" s="23"/>
      <c r="E592" s="23" t="s">
        <v>96</v>
      </c>
      <c r="F592" s="23">
        <v>6</v>
      </c>
    </row>
    <row r="593" customHeight="1" spans="1:6">
      <c r="A593" s="22">
        <v>45738</v>
      </c>
      <c r="B593" s="23" t="s">
        <v>1397</v>
      </c>
      <c r="C593" s="23">
        <v>15939263720</v>
      </c>
      <c r="D593" s="23"/>
      <c r="E593" s="23" t="s">
        <v>96</v>
      </c>
      <c r="F593" s="23">
        <v>5</v>
      </c>
    </row>
    <row r="594" customHeight="1" spans="1:6">
      <c r="A594" s="22">
        <v>45738</v>
      </c>
      <c r="B594" s="23" t="s">
        <v>1398</v>
      </c>
      <c r="C594" s="23">
        <v>15537459127</v>
      </c>
      <c r="D594" s="23"/>
      <c r="E594" s="23" t="s">
        <v>96</v>
      </c>
      <c r="F594" s="23">
        <v>10</v>
      </c>
    </row>
    <row r="595" customHeight="1" spans="1:6">
      <c r="A595" s="22">
        <v>45738</v>
      </c>
      <c r="B595" s="23" t="s">
        <v>1399</v>
      </c>
      <c r="C595" s="23">
        <v>18254897689</v>
      </c>
      <c r="D595" s="23"/>
      <c r="E595" s="23" t="s">
        <v>96</v>
      </c>
      <c r="F595" s="23">
        <v>7</v>
      </c>
    </row>
    <row r="596" customHeight="1" spans="1:6">
      <c r="A596" s="22">
        <v>45738</v>
      </c>
      <c r="B596" s="23" t="s">
        <v>1400</v>
      </c>
      <c r="C596" s="23">
        <v>1994216657</v>
      </c>
      <c r="D596" s="23"/>
      <c r="E596" s="23" t="s">
        <v>96</v>
      </c>
      <c r="F596" s="23">
        <v>8</v>
      </c>
    </row>
    <row r="597" customHeight="1" spans="1:6">
      <c r="A597" s="22">
        <v>45738</v>
      </c>
      <c r="B597" s="23" t="s">
        <v>1401</v>
      </c>
      <c r="C597" s="23">
        <v>15117322551</v>
      </c>
      <c r="D597" s="23"/>
      <c r="E597" s="23" t="s">
        <v>980</v>
      </c>
      <c r="F597" s="23">
        <v>1</v>
      </c>
    </row>
    <row r="598" customHeight="1" spans="1:6">
      <c r="A598" s="22">
        <v>45738</v>
      </c>
      <c r="B598" s="23" t="s">
        <v>1402</v>
      </c>
      <c r="C598" s="23">
        <v>1823197793</v>
      </c>
      <c r="D598" s="23"/>
      <c r="E598" s="23" t="s">
        <v>1330</v>
      </c>
      <c r="F598" s="23">
        <v>1</v>
      </c>
    </row>
    <row r="599" customHeight="1" spans="1:6">
      <c r="A599" s="22">
        <v>45738</v>
      </c>
      <c r="B599" s="23" t="s">
        <v>1403</v>
      </c>
      <c r="C599" s="23">
        <v>17823014036</v>
      </c>
      <c r="D599" s="23"/>
      <c r="E599" s="23" t="s">
        <v>797</v>
      </c>
      <c r="F599" s="23">
        <v>1</v>
      </c>
    </row>
    <row r="600" customHeight="1" spans="1:6">
      <c r="A600" s="22">
        <v>45738</v>
      </c>
      <c r="B600" s="23" t="s">
        <v>750</v>
      </c>
      <c r="C600" s="23">
        <v>17634381786</v>
      </c>
      <c r="D600" s="23"/>
      <c r="E600" s="23" t="s">
        <v>904</v>
      </c>
      <c r="F600" s="23">
        <v>1</v>
      </c>
    </row>
    <row r="601" customHeight="1" spans="1:6">
      <c r="A601" s="22">
        <v>45738</v>
      </c>
      <c r="B601" s="23"/>
      <c r="C601" s="23">
        <v>13207190372</v>
      </c>
      <c r="D601" s="23"/>
      <c r="E601" s="23" t="s">
        <v>1330</v>
      </c>
      <c r="F601" s="23">
        <v>1</v>
      </c>
    </row>
    <row r="602" customHeight="1" spans="1:6">
      <c r="A602" s="22">
        <v>45738</v>
      </c>
      <c r="B602" s="23" t="s">
        <v>1404</v>
      </c>
      <c r="C602" s="23">
        <v>18228096020</v>
      </c>
      <c r="D602" s="23"/>
      <c r="E602" s="23" t="s">
        <v>96</v>
      </c>
      <c r="F602" s="23">
        <v>1</v>
      </c>
    </row>
    <row r="603" customHeight="1" spans="1:6">
      <c r="A603" s="22">
        <v>45738</v>
      </c>
      <c r="B603" s="23" t="s">
        <v>1405</v>
      </c>
      <c r="C603" s="23">
        <v>15549673118</v>
      </c>
      <c r="D603" s="23"/>
      <c r="E603" s="23" t="s">
        <v>96</v>
      </c>
      <c r="F603" s="23">
        <v>1</v>
      </c>
    </row>
    <row r="604" customHeight="1" spans="1:6">
      <c r="A604" s="22">
        <v>45738</v>
      </c>
      <c r="B604" s="23" t="s">
        <v>1406</v>
      </c>
      <c r="C604" s="23">
        <v>13554279391</v>
      </c>
      <c r="D604" s="23"/>
      <c r="E604" s="23" t="s">
        <v>1112</v>
      </c>
      <c r="F604" s="23">
        <v>1</v>
      </c>
    </row>
    <row r="605" customHeight="1" spans="1:6">
      <c r="A605" s="22">
        <v>45738</v>
      </c>
      <c r="B605" s="23" t="s">
        <v>1366</v>
      </c>
      <c r="C605" s="23">
        <v>17786369302</v>
      </c>
      <c r="D605" s="23"/>
      <c r="E605" s="23" t="s">
        <v>942</v>
      </c>
      <c r="F605" s="23">
        <v>1</v>
      </c>
    </row>
    <row r="606" customHeight="1" spans="1:6">
      <c r="A606" s="22">
        <v>45738</v>
      </c>
      <c r="B606" s="23" t="s">
        <v>1407</v>
      </c>
      <c r="C606" s="23">
        <v>13908643902</v>
      </c>
      <c r="D606" s="23"/>
      <c r="E606" s="23" t="s">
        <v>795</v>
      </c>
      <c r="F606" s="23">
        <v>1</v>
      </c>
    </row>
    <row r="607" customHeight="1" spans="1:6">
      <c r="A607" s="22">
        <v>45738</v>
      </c>
      <c r="B607" s="23" t="s">
        <v>1408</v>
      </c>
      <c r="C607" s="23">
        <v>18607116147</v>
      </c>
      <c r="D607" s="23"/>
      <c r="E607" s="23" t="s">
        <v>1409</v>
      </c>
      <c r="F607" s="23">
        <v>1</v>
      </c>
    </row>
    <row r="608" customHeight="1" spans="1:6">
      <c r="A608" s="22">
        <v>45738</v>
      </c>
      <c r="B608" s="23" t="s">
        <v>1410</v>
      </c>
      <c r="C608" s="23">
        <v>18339967202</v>
      </c>
      <c r="D608" s="23"/>
      <c r="E608" s="23" t="s">
        <v>980</v>
      </c>
      <c r="F608" s="23">
        <v>1</v>
      </c>
    </row>
    <row r="609" customHeight="1" spans="1:6">
      <c r="A609" s="22">
        <v>45738</v>
      </c>
      <c r="B609" s="23" t="s">
        <v>1411</v>
      </c>
      <c r="C609" s="23">
        <v>15858140976</v>
      </c>
      <c r="D609" s="23"/>
      <c r="E609" s="23" t="s">
        <v>797</v>
      </c>
      <c r="F609" s="23">
        <v>1</v>
      </c>
    </row>
    <row r="610" customHeight="1" spans="1:6">
      <c r="A610" s="22">
        <v>45738</v>
      </c>
      <c r="B610" s="23" t="s">
        <v>1412</v>
      </c>
      <c r="C610" s="23">
        <v>18062712881</v>
      </c>
      <c r="D610" s="23"/>
      <c r="E610" s="23" t="s">
        <v>942</v>
      </c>
      <c r="F610" s="23">
        <v>1</v>
      </c>
    </row>
    <row r="611" customHeight="1" spans="1:6">
      <c r="A611" s="22">
        <v>45738</v>
      </c>
      <c r="B611" s="23" t="s">
        <v>1413</v>
      </c>
      <c r="C611" s="23">
        <v>15185035311</v>
      </c>
      <c r="D611" s="23"/>
      <c r="E611" s="23" t="s">
        <v>1414</v>
      </c>
      <c r="F611" s="23">
        <v>3</v>
      </c>
    </row>
    <row r="612" customHeight="1" spans="1:6">
      <c r="A612" s="22">
        <v>45738</v>
      </c>
      <c r="B612" s="23" t="s">
        <v>1415</v>
      </c>
      <c r="C612" s="23">
        <v>18877095389</v>
      </c>
      <c r="D612" s="23"/>
      <c r="E612" s="23" t="s">
        <v>1416</v>
      </c>
      <c r="F612" s="23">
        <v>3</v>
      </c>
    </row>
    <row r="613" customHeight="1" spans="1:6">
      <c r="A613" s="22">
        <v>45738</v>
      </c>
      <c r="B613" s="23" t="s">
        <v>1417</v>
      </c>
      <c r="C613" s="23">
        <v>15285221425</v>
      </c>
      <c r="D613" s="23"/>
      <c r="E613" s="23" t="s">
        <v>1416</v>
      </c>
      <c r="F613" s="23">
        <v>3</v>
      </c>
    </row>
    <row r="614" customHeight="1" spans="1:6">
      <c r="A614" s="22">
        <v>45738</v>
      </c>
      <c r="B614" s="23" t="s">
        <v>1418</v>
      </c>
      <c r="C614" s="23">
        <v>18785221425</v>
      </c>
      <c r="D614" s="23"/>
      <c r="E614" s="23" t="s">
        <v>1419</v>
      </c>
      <c r="F614" s="23">
        <v>3</v>
      </c>
    </row>
    <row r="615" customHeight="1" spans="1:6">
      <c r="A615" s="22">
        <v>45738</v>
      </c>
      <c r="B615" s="28" t="s">
        <v>1420</v>
      </c>
      <c r="C615" s="28">
        <v>1839967202</v>
      </c>
      <c r="D615" s="23"/>
      <c r="E615" s="23" t="s">
        <v>1409</v>
      </c>
      <c r="F615" s="23">
        <v>1</v>
      </c>
    </row>
    <row r="616" customHeight="1" spans="1:6">
      <c r="A616" s="22">
        <v>45738</v>
      </c>
      <c r="B616" s="28" t="s">
        <v>1421</v>
      </c>
      <c r="C616" s="28">
        <v>19399152592</v>
      </c>
      <c r="D616" s="23"/>
      <c r="E616" s="23" t="s">
        <v>980</v>
      </c>
      <c r="F616" s="23">
        <v>1</v>
      </c>
    </row>
    <row r="617" customHeight="1" spans="1:6">
      <c r="A617" s="22">
        <v>45738</v>
      </c>
      <c r="B617" s="28" t="s">
        <v>1422</v>
      </c>
      <c r="C617" s="28">
        <v>1860716185</v>
      </c>
      <c r="D617" s="23"/>
      <c r="E617" s="23" t="s">
        <v>797</v>
      </c>
      <c r="F617" s="23">
        <v>1</v>
      </c>
    </row>
    <row r="618" customHeight="1" spans="1:6">
      <c r="A618" s="22">
        <v>45738</v>
      </c>
      <c r="B618" s="28" t="s">
        <v>1423</v>
      </c>
      <c r="C618" s="28">
        <v>17681213989</v>
      </c>
      <c r="D618" s="23"/>
      <c r="E618" s="23" t="s">
        <v>942</v>
      </c>
      <c r="F618" s="23">
        <v>1</v>
      </c>
    </row>
    <row r="619" customHeight="1" spans="1:6">
      <c r="A619" s="22">
        <v>45738</v>
      </c>
      <c r="B619" s="28" t="s">
        <v>1424</v>
      </c>
      <c r="C619" s="28">
        <v>15873277121</v>
      </c>
      <c r="D619" s="23"/>
      <c r="E619" s="23" t="s">
        <v>904</v>
      </c>
      <c r="F619" s="23">
        <v>1</v>
      </c>
    </row>
    <row r="620" customHeight="1" spans="1:6">
      <c r="A620" s="22">
        <v>45738</v>
      </c>
      <c r="B620" s="28" t="s">
        <v>1425</v>
      </c>
      <c r="C620" s="28">
        <v>15121980720</v>
      </c>
      <c r="D620" s="23"/>
      <c r="E620" s="23" t="s">
        <v>1330</v>
      </c>
      <c r="F620" s="23">
        <v>1</v>
      </c>
    </row>
    <row r="621" customHeight="1" spans="1:6">
      <c r="A621" s="22">
        <v>45738</v>
      </c>
      <c r="B621" s="28" t="s">
        <v>1393</v>
      </c>
      <c r="C621" s="28">
        <v>13164647453</v>
      </c>
      <c r="D621" s="23"/>
      <c r="E621" s="23" t="s">
        <v>96</v>
      </c>
      <c r="F621" s="23">
        <v>1</v>
      </c>
    </row>
    <row r="622" customHeight="1" spans="1:6">
      <c r="A622" s="22">
        <v>45738</v>
      </c>
      <c r="B622" s="28" t="s">
        <v>1426</v>
      </c>
      <c r="C622" s="28">
        <v>18172280558</v>
      </c>
      <c r="D622" s="23"/>
      <c r="E622" s="23" t="s">
        <v>940</v>
      </c>
      <c r="F622" s="23">
        <v>1</v>
      </c>
    </row>
    <row r="623" customHeight="1" spans="1:6">
      <c r="A623" s="22">
        <v>45738</v>
      </c>
      <c r="B623" s="28" t="s">
        <v>1427</v>
      </c>
      <c r="C623" s="28">
        <v>15623776896</v>
      </c>
      <c r="D623" s="23"/>
      <c r="E623" s="23" t="s">
        <v>1112</v>
      </c>
      <c r="F623" s="23">
        <v>5</v>
      </c>
    </row>
    <row r="624" customHeight="1" spans="1:6">
      <c r="A624" s="22">
        <v>45739</v>
      </c>
      <c r="B624" s="28" t="s">
        <v>1428</v>
      </c>
      <c r="C624" s="28">
        <v>18071070257</v>
      </c>
      <c r="D624" s="23"/>
      <c r="E624" s="23" t="s">
        <v>1378</v>
      </c>
      <c r="F624" s="23">
        <v>1</v>
      </c>
    </row>
    <row r="625" customHeight="1" spans="1:6">
      <c r="A625" s="22">
        <v>45739</v>
      </c>
      <c r="B625" s="28" t="s">
        <v>1429</v>
      </c>
      <c r="C625" s="28">
        <v>13277320801</v>
      </c>
      <c r="D625" s="23"/>
      <c r="E625" s="23" t="s">
        <v>753</v>
      </c>
      <c r="F625" s="23">
        <v>1</v>
      </c>
    </row>
    <row r="626" customHeight="1" spans="1:6">
      <c r="A626" s="22">
        <v>45739</v>
      </c>
      <c r="B626" s="28" t="s">
        <v>1430</v>
      </c>
      <c r="C626" s="28">
        <v>19962521701</v>
      </c>
      <c r="D626" s="23"/>
      <c r="E626" s="23" t="s">
        <v>773</v>
      </c>
      <c r="F626" s="23">
        <v>1</v>
      </c>
    </row>
    <row r="627" customHeight="1" spans="1:6">
      <c r="A627" s="22">
        <v>45739</v>
      </c>
      <c r="B627" s="28" t="s">
        <v>275</v>
      </c>
      <c r="C627" s="28">
        <v>13796556661</v>
      </c>
      <c r="D627" s="23"/>
      <c r="E627" s="23" t="s">
        <v>980</v>
      </c>
      <c r="F627" s="23">
        <v>1</v>
      </c>
    </row>
    <row r="628" customHeight="1" spans="1:6">
      <c r="A628" s="22">
        <v>45740</v>
      </c>
      <c r="B628" s="28" t="s">
        <v>1431</v>
      </c>
      <c r="C628" s="28">
        <v>18052624622</v>
      </c>
      <c r="D628" s="23"/>
      <c r="E628" s="23" t="s">
        <v>980</v>
      </c>
      <c r="F628" s="23">
        <v>1</v>
      </c>
    </row>
    <row r="629" customHeight="1" spans="1:6">
      <c r="A629" s="22">
        <v>45741</v>
      </c>
      <c r="B629" s="28" t="s">
        <v>1432</v>
      </c>
      <c r="C629" s="28">
        <v>18271427727</v>
      </c>
      <c r="D629" s="23"/>
      <c r="E629" s="23" t="s">
        <v>800</v>
      </c>
      <c r="F629" s="23">
        <v>1</v>
      </c>
    </row>
    <row r="630" customHeight="1" spans="1:6">
      <c r="A630" s="22">
        <v>45741</v>
      </c>
      <c r="B630" s="28" t="s">
        <v>1433</v>
      </c>
      <c r="C630" s="28">
        <v>15527011179</v>
      </c>
      <c r="D630" s="23"/>
      <c r="E630" s="23" t="s">
        <v>980</v>
      </c>
      <c r="F630" s="23">
        <v>1</v>
      </c>
    </row>
    <row r="631" customHeight="1" spans="1:6">
      <c r="A631" s="22">
        <v>45741</v>
      </c>
      <c r="B631" s="28" t="s">
        <v>1434</v>
      </c>
      <c r="C631" s="28">
        <v>15623703551</v>
      </c>
      <c r="D631" s="23"/>
      <c r="E631" s="23" t="s">
        <v>960</v>
      </c>
      <c r="F631" s="23">
        <v>1</v>
      </c>
    </row>
    <row r="632" customHeight="1" spans="1:6">
      <c r="A632" s="22">
        <v>45741</v>
      </c>
      <c r="B632" s="28" t="s">
        <v>1435</v>
      </c>
      <c r="C632" s="28">
        <v>13523797857</v>
      </c>
      <c r="D632" s="23"/>
      <c r="E632" s="23" t="s">
        <v>753</v>
      </c>
      <c r="F632" s="23">
        <v>1</v>
      </c>
    </row>
    <row r="633" customHeight="1" spans="1:6">
      <c r="A633" s="22">
        <v>45741</v>
      </c>
      <c r="B633" s="28" t="s">
        <v>1436</v>
      </c>
      <c r="C633" s="28">
        <v>13163280642</v>
      </c>
      <c r="D633" s="23"/>
      <c r="E633" s="23" t="s">
        <v>795</v>
      </c>
      <c r="F633" s="23">
        <v>1</v>
      </c>
    </row>
    <row r="634" customHeight="1" spans="1:6">
      <c r="A634" s="22">
        <v>45741</v>
      </c>
      <c r="B634" s="28" t="s">
        <v>1437</v>
      </c>
      <c r="C634" s="28">
        <v>15997775433</v>
      </c>
      <c r="D634" s="23"/>
      <c r="E634" s="23" t="s">
        <v>980</v>
      </c>
      <c r="F634" s="23">
        <v>1</v>
      </c>
    </row>
    <row r="635" customHeight="1" spans="1:6">
      <c r="A635" s="22">
        <v>45741</v>
      </c>
      <c r="B635" s="28" t="s">
        <v>1438</v>
      </c>
      <c r="C635" s="28">
        <v>15623700106</v>
      </c>
      <c r="D635" s="23"/>
      <c r="E635" s="23" t="s">
        <v>936</v>
      </c>
      <c r="F635" s="23">
        <v>1</v>
      </c>
    </row>
    <row r="636" customHeight="1" spans="1:6">
      <c r="A636" s="22">
        <v>45742</v>
      </c>
      <c r="B636" s="28" t="s">
        <v>1439</v>
      </c>
      <c r="C636" s="28">
        <v>18071139151</v>
      </c>
      <c r="D636" s="23"/>
      <c r="E636" s="23" t="s">
        <v>725</v>
      </c>
      <c r="F636" s="23">
        <v>2</v>
      </c>
    </row>
    <row r="637" customHeight="1" spans="1:6">
      <c r="A637" s="22">
        <v>45742</v>
      </c>
      <c r="B637" s="28" t="s">
        <v>1440</v>
      </c>
      <c r="C637" s="28">
        <v>13647193249</v>
      </c>
      <c r="D637" s="23"/>
      <c r="E637" s="23" t="s">
        <v>725</v>
      </c>
      <c r="F637" s="23">
        <v>2</v>
      </c>
    </row>
    <row r="638" customHeight="1" spans="1:6">
      <c r="A638" s="22">
        <v>45743</v>
      </c>
      <c r="B638" s="28" t="s">
        <v>1441</v>
      </c>
      <c r="C638" s="28">
        <v>15188981103</v>
      </c>
      <c r="D638" s="23"/>
      <c r="E638" s="23" t="s">
        <v>725</v>
      </c>
      <c r="F638" s="23">
        <v>2</v>
      </c>
    </row>
    <row r="639" customHeight="1" spans="1:6">
      <c r="A639" s="22">
        <v>45743</v>
      </c>
      <c r="B639" s="28" t="s">
        <v>1442</v>
      </c>
      <c r="C639" s="28">
        <v>18107262890</v>
      </c>
      <c r="D639" s="23"/>
      <c r="E639" s="23" t="s">
        <v>725</v>
      </c>
      <c r="F639" s="23">
        <v>2</v>
      </c>
    </row>
    <row r="640" customHeight="1" spans="1:6">
      <c r="A640" s="22">
        <v>45744</v>
      </c>
      <c r="B640" s="28" t="s">
        <v>1443</v>
      </c>
      <c r="C640" s="28">
        <v>15342836837</v>
      </c>
      <c r="D640" s="23"/>
      <c r="E640" s="23" t="s">
        <v>725</v>
      </c>
      <c r="F640" s="23">
        <v>2</v>
      </c>
    </row>
    <row r="641" customHeight="1" spans="1:6">
      <c r="A641" s="22">
        <v>45744</v>
      </c>
      <c r="B641" s="28" t="s">
        <v>1444</v>
      </c>
      <c r="C641" s="28">
        <v>18372671501</v>
      </c>
      <c r="D641" s="23"/>
      <c r="E641" s="23" t="s">
        <v>725</v>
      </c>
      <c r="F641" s="23">
        <v>2</v>
      </c>
    </row>
    <row r="642" customHeight="1" spans="1:6">
      <c r="A642" s="22">
        <v>45745</v>
      </c>
      <c r="B642" s="28" t="s">
        <v>1445</v>
      </c>
      <c r="C642" s="28">
        <v>17362812898</v>
      </c>
      <c r="D642" s="23"/>
      <c r="E642" s="23" t="s">
        <v>753</v>
      </c>
      <c r="F642" s="23">
        <v>1</v>
      </c>
    </row>
    <row r="643" customHeight="1" spans="1:6">
      <c r="A643" s="22">
        <v>45745</v>
      </c>
      <c r="B643" s="28" t="s">
        <v>1446</v>
      </c>
      <c r="C643" s="28">
        <v>17754415013</v>
      </c>
      <c r="D643" s="23"/>
      <c r="E643" s="23" t="s">
        <v>983</v>
      </c>
      <c r="F643" s="23">
        <v>1</v>
      </c>
    </row>
    <row r="644" customHeight="1" spans="1:6">
      <c r="A644" s="22">
        <v>45745</v>
      </c>
      <c r="B644" s="28" t="s">
        <v>1447</v>
      </c>
      <c r="C644" s="28">
        <v>15729612119</v>
      </c>
      <c r="D644" s="23"/>
      <c r="E644" s="23" t="s">
        <v>940</v>
      </c>
      <c r="F644" s="23">
        <v>1</v>
      </c>
    </row>
    <row r="645" customHeight="1" spans="1:6">
      <c r="A645" s="22">
        <v>45745</v>
      </c>
      <c r="B645" s="28" t="s">
        <v>1448</v>
      </c>
      <c r="C645" s="28">
        <v>15007150633</v>
      </c>
      <c r="D645" s="23"/>
      <c r="E645" s="23" t="s">
        <v>940</v>
      </c>
      <c r="F645" s="23">
        <v>1</v>
      </c>
    </row>
    <row r="646" customHeight="1" spans="1:6">
      <c r="A646" s="22">
        <v>45745</v>
      </c>
      <c r="B646" s="28" t="s">
        <v>1449</v>
      </c>
      <c r="C646" s="28">
        <v>19072493868</v>
      </c>
      <c r="D646" s="23"/>
      <c r="E646" s="23" t="s">
        <v>800</v>
      </c>
      <c r="F646" s="23">
        <v>1</v>
      </c>
    </row>
    <row r="647" customHeight="1" spans="1:6">
      <c r="A647" s="22">
        <v>45745</v>
      </c>
      <c r="B647" s="28" t="s">
        <v>1450</v>
      </c>
      <c r="C647" s="28">
        <v>15047503137</v>
      </c>
      <c r="D647" s="23"/>
      <c r="E647" s="23" t="s">
        <v>753</v>
      </c>
      <c r="F647" s="23">
        <v>1</v>
      </c>
    </row>
    <row r="648" customHeight="1" spans="1:6">
      <c r="A648" s="22">
        <v>45745</v>
      </c>
      <c r="B648" s="28" t="s">
        <v>1451</v>
      </c>
      <c r="C648" s="28">
        <v>15516027227</v>
      </c>
      <c r="D648" s="23"/>
      <c r="E648" s="23" t="s">
        <v>1330</v>
      </c>
      <c r="F648" s="23">
        <v>1</v>
      </c>
    </row>
    <row r="649" customHeight="1" spans="1:6">
      <c r="A649" s="22">
        <v>45745</v>
      </c>
      <c r="B649" s="28" t="s">
        <v>1452</v>
      </c>
      <c r="C649" s="28">
        <v>15623805658</v>
      </c>
      <c r="D649" s="23"/>
      <c r="E649" s="23" t="s">
        <v>940</v>
      </c>
      <c r="F649" s="23">
        <v>1</v>
      </c>
    </row>
    <row r="650" customHeight="1" spans="1:6">
      <c r="A650" s="22">
        <v>45745</v>
      </c>
      <c r="B650" s="28" t="s">
        <v>1453</v>
      </c>
      <c r="C650" s="28">
        <v>17755669050</v>
      </c>
      <c r="D650" s="23"/>
      <c r="E650" s="23" t="s">
        <v>810</v>
      </c>
      <c r="F650" s="23">
        <v>1</v>
      </c>
    </row>
    <row r="651" customHeight="1" spans="1:6">
      <c r="A651" s="22">
        <v>45745</v>
      </c>
      <c r="B651" s="28" t="s">
        <v>1454</v>
      </c>
      <c r="C651" s="28">
        <v>15090826880</v>
      </c>
      <c r="D651" s="23"/>
      <c r="E651" s="23" t="s">
        <v>960</v>
      </c>
      <c r="F651" s="23">
        <v>1</v>
      </c>
    </row>
    <row r="652" customHeight="1" spans="1:6">
      <c r="A652" s="22">
        <v>45745</v>
      </c>
      <c r="B652" s="28" t="s">
        <v>1455</v>
      </c>
      <c r="C652" s="28">
        <v>13307355092</v>
      </c>
      <c r="D652" s="23"/>
      <c r="E652" s="23" t="s">
        <v>960</v>
      </c>
      <c r="F652" s="23">
        <v>1</v>
      </c>
    </row>
    <row r="653" customHeight="1" spans="1:6">
      <c r="A653" s="22">
        <v>45745</v>
      </c>
      <c r="B653" s="28" t="s">
        <v>1456</v>
      </c>
      <c r="C653" s="28">
        <v>18872640035</v>
      </c>
      <c r="D653" s="23"/>
      <c r="E653" s="23" t="s">
        <v>753</v>
      </c>
      <c r="F653" s="23">
        <v>1</v>
      </c>
    </row>
    <row r="654" customHeight="1" spans="1:6">
      <c r="A654" s="22">
        <v>45745</v>
      </c>
      <c r="B654" s="28" t="s">
        <v>1457</v>
      </c>
      <c r="C654" s="28">
        <v>19913195509</v>
      </c>
      <c r="D654" s="23"/>
      <c r="E654" s="23" t="s">
        <v>980</v>
      </c>
      <c r="F654" s="23">
        <v>1</v>
      </c>
    </row>
    <row r="655" customHeight="1" spans="1:6">
      <c r="A655" s="22">
        <v>45745</v>
      </c>
      <c r="B655" s="28" t="s">
        <v>1458</v>
      </c>
      <c r="C655" s="28">
        <v>13530094611</v>
      </c>
      <c r="D655" s="23"/>
      <c r="E655" s="23" t="s">
        <v>810</v>
      </c>
      <c r="F655" s="23">
        <v>1</v>
      </c>
    </row>
    <row r="656" customHeight="1" spans="1:6">
      <c r="A656" s="22">
        <v>45745</v>
      </c>
      <c r="B656" s="28" t="s">
        <v>1459</v>
      </c>
      <c r="C656" s="28">
        <v>15272153746</v>
      </c>
      <c r="D656" s="23"/>
      <c r="E656" s="23" t="s">
        <v>940</v>
      </c>
      <c r="F656" s="23">
        <v>1</v>
      </c>
    </row>
    <row r="657" customHeight="1" spans="1:6">
      <c r="A657" s="22">
        <v>45745</v>
      </c>
      <c r="B657" s="28" t="s">
        <v>1460</v>
      </c>
      <c r="C657" s="28">
        <v>13469788059</v>
      </c>
      <c r="D657" s="23"/>
      <c r="E657" s="23" t="s">
        <v>960</v>
      </c>
      <c r="F657" s="23">
        <v>1</v>
      </c>
    </row>
    <row r="658" customHeight="1" spans="1:6">
      <c r="A658" s="22">
        <v>45745</v>
      </c>
      <c r="B658" s="28" t="s">
        <v>1461</v>
      </c>
      <c r="C658" s="28">
        <v>15527563774</v>
      </c>
      <c r="D658" s="23"/>
      <c r="E658" s="23" t="s">
        <v>980</v>
      </c>
      <c r="F658" s="23">
        <v>1</v>
      </c>
    </row>
    <row r="659" customHeight="1" spans="1:6">
      <c r="A659" s="22">
        <v>45745</v>
      </c>
      <c r="B659" s="28" t="s">
        <v>1006</v>
      </c>
      <c r="C659" s="28">
        <v>18771063443</v>
      </c>
      <c r="D659" s="23"/>
      <c r="E659" s="23" t="s">
        <v>810</v>
      </c>
      <c r="F659" s="23">
        <v>1</v>
      </c>
    </row>
    <row r="660" customHeight="1" spans="1:6">
      <c r="A660" s="22">
        <v>45745</v>
      </c>
      <c r="B660" s="28" t="s">
        <v>1462</v>
      </c>
      <c r="C660" s="28">
        <v>13673455693</v>
      </c>
      <c r="D660" s="23"/>
      <c r="E660" s="23" t="s">
        <v>980</v>
      </c>
      <c r="F660" s="23">
        <v>1</v>
      </c>
    </row>
    <row r="661" customHeight="1" spans="1:6">
      <c r="A661" s="22">
        <v>45746</v>
      </c>
      <c r="B661" s="28" t="s">
        <v>1463</v>
      </c>
      <c r="C661" s="28">
        <v>15872030743</v>
      </c>
      <c r="D661" s="23"/>
      <c r="E661" s="23" t="s">
        <v>960</v>
      </c>
      <c r="F661" s="23">
        <v>1</v>
      </c>
    </row>
    <row r="662" customHeight="1" spans="1:6">
      <c r="A662" s="22">
        <v>45746</v>
      </c>
      <c r="B662" s="28" t="s">
        <v>1464</v>
      </c>
      <c r="C662" s="28">
        <v>13327719628</v>
      </c>
      <c r="D662" s="23"/>
      <c r="E662" s="23" t="s">
        <v>980</v>
      </c>
      <c r="F662" s="23">
        <v>1</v>
      </c>
    </row>
    <row r="663" customHeight="1" spans="1:6">
      <c r="A663" s="22">
        <v>45746</v>
      </c>
      <c r="B663" s="28" t="s">
        <v>1443</v>
      </c>
      <c r="C663" s="28">
        <v>15342836837</v>
      </c>
      <c r="D663" s="23"/>
      <c r="E663" s="23" t="s">
        <v>797</v>
      </c>
      <c r="F663" s="23">
        <v>1</v>
      </c>
    </row>
    <row r="664" customHeight="1" spans="1:6">
      <c r="A664" s="22">
        <v>45746</v>
      </c>
      <c r="B664" s="28" t="s">
        <v>1444</v>
      </c>
      <c r="C664" s="28">
        <v>18372671501</v>
      </c>
      <c r="D664" s="23"/>
      <c r="E664" s="23" t="s">
        <v>980</v>
      </c>
      <c r="F664" s="23">
        <v>1</v>
      </c>
    </row>
    <row r="665" customHeight="1" spans="1:6">
      <c r="A665" s="22">
        <v>45746</v>
      </c>
      <c r="B665" s="28" t="s">
        <v>733</v>
      </c>
      <c r="C665" s="28">
        <v>15272294432</v>
      </c>
      <c r="D665" s="23"/>
      <c r="E665" s="23" t="s">
        <v>753</v>
      </c>
      <c r="F665" s="23">
        <v>1</v>
      </c>
    </row>
    <row r="666" customHeight="1" spans="1:6">
      <c r="A666" s="22">
        <v>45746</v>
      </c>
      <c r="B666" s="28" t="s">
        <v>1465</v>
      </c>
      <c r="C666" s="28">
        <v>18327001917</v>
      </c>
      <c r="D666" s="23"/>
      <c r="E666" s="23" t="s">
        <v>795</v>
      </c>
      <c r="F666" s="23">
        <v>1</v>
      </c>
    </row>
    <row r="667" customHeight="1" spans="1:6">
      <c r="A667" s="22">
        <v>45746</v>
      </c>
      <c r="B667" s="28" t="s">
        <v>1466</v>
      </c>
      <c r="C667" s="28">
        <v>15874472660</v>
      </c>
      <c r="D667" s="23"/>
      <c r="E667" s="23" t="s">
        <v>753</v>
      </c>
      <c r="F667" s="23">
        <v>1</v>
      </c>
    </row>
    <row r="668" customHeight="1" spans="1:6">
      <c r="A668" s="22">
        <v>45746</v>
      </c>
      <c r="B668" s="28" t="s">
        <v>1467</v>
      </c>
      <c r="C668" s="28">
        <v>1502702534</v>
      </c>
      <c r="D668" s="23"/>
      <c r="E668" s="23" t="s">
        <v>960</v>
      </c>
      <c r="F668" s="23">
        <v>1</v>
      </c>
    </row>
    <row r="669" customHeight="1" spans="1:6">
      <c r="A669" s="22">
        <v>45746</v>
      </c>
      <c r="B669" s="28" t="s">
        <v>821</v>
      </c>
      <c r="C669" s="28">
        <v>13881150436</v>
      </c>
      <c r="D669" s="23"/>
      <c r="E669" s="23" t="s">
        <v>962</v>
      </c>
      <c r="F669" s="23">
        <v>1</v>
      </c>
    </row>
    <row r="670" customHeight="1" spans="1:6">
      <c r="A670" s="22">
        <v>45746</v>
      </c>
      <c r="B670" s="28" t="s">
        <v>1468</v>
      </c>
      <c r="C670" s="28">
        <v>15062179269</v>
      </c>
      <c r="D670" s="23"/>
      <c r="E670" s="23" t="s">
        <v>980</v>
      </c>
      <c r="F670" s="23">
        <v>1</v>
      </c>
    </row>
    <row r="671" customHeight="1" spans="1:6">
      <c r="A671" s="22">
        <v>45746</v>
      </c>
      <c r="B671" s="28" t="s">
        <v>1469</v>
      </c>
      <c r="C671" s="28">
        <v>13558987558</v>
      </c>
      <c r="D671" s="23"/>
      <c r="E671" s="23" t="s">
        <v>753</v>
      </c>
      <c r="F671" s="23">
        <v>1</v>
      </c>
    </row>
    <row r="672" customHeight="1" spans="1:6">
      <c r="A672" s="22">
        <v>45746</v>
      </c>
      <c r="B672" s="28" t="s">
        <v>1470</v>
      </c>
      <c r="C672" s="28">
        <v>13072736569</v>
      </c>
      <c r="D672" s="23"/>
      <c r="E672" s="23" t="s">
        <v>795</v>
      </c>
      <c r="F672" s="23">
        <v>1</v>
      </c>
    </row>
    <row r="673" customHeight="1" spans="1:6">
      <c r="A673" s="22">
        <v>45746</v>
      </c>
      <c r="B673" s="28" t="s">
        <v>1471</v>
      </c>
      <c r="C673" s="28">
        <v>18569112989</v>
      </c>
      <c r="D673" s="23"/>
      <c r="E673" s="23" t="s">
        <v>960</v>
      </c>
      <c r="F673" s="23">
        <v>1</v>
      </c>
    </row>
    <row r="674" customHeight="1" spans="1:6">
      <c r="A674" s="22">
        <v>45746</v>
      </c>
      <c r="B674" s="28" t="s">
        <v>1472</v>
      </c>
      <c r="C674" s="28">
        <v>19847545096</v>
      </c>
      <c r="D674" s="23"/>
      <c r="E674" s="23" t="s">
        <v>753</v>
      </c>
      <c r="F674" s="23">
        <v>1</v>
      </c>
    </row>
    <row r="675" customHeight="1" spans="1:6">
      <c r="A675" s="22">
        <v>45746</v>
      </c>
      <c r="B675" s="28" t="s">
        <v>1473</v>
      </c>
      <c r="C675" s="28">
        <v>15221955430</v>
      </c>
      <c r="D675" s="23"/>
      <c r="E675" s="23" t="s">
        <v>753</v>
      </c>
      <c r="F675" s="23">
        <v>1</v>
      </c>
    </row>
    <row r="676" customHeight="1" spans="1:6">
      <c r="A676" s="22">
        <v>45746</v>
      </c>
      <c r="B676" s="28" t="s">
        <v>1474</v>
      </c>
      <c r="C676" s="28">
        <v>13545424957</v>
      </c>
      <c r="D676" s="23"/>
      <c r="E676" s="23" t="s">
        <v>960</v>
      </c>
      <c r="F676" s="23">
        <v>1</v>
      </c>
    </row>
    <row r="677" customHeight="1" spans="1:6">
      <c r="A677" s="22">
        <v>45746</v>
      </c>
      <c r="B677" s="28" t="s">
        <v>1475</v>
      </c>
      <c r="C677" s="28">
        <v>13317822824</v>
      </c>
      <c r="D677" s="23"/>
      <c r="E677" s="23" t="s">
        <v>980</v>
      </c>
      <c r="F677" s="23">
        <v>1</v>
      </c>
    </row>
    <row r="678" customHeight="1" spans="1:6">
      <c r="A678" s="22">
        <v>45746</v>
      </c>
      <c r="B678" s="28" t="s">
        <v>1476</v>
      </c>
      <c r="C678" s="28">
        <v>13872077874</v>
      </c>
      <c r="D678" s="23"/>
      <c r="E678" s="23" t="s">
        <v>753</v>
      </c>
      <c r="F678" s="23">
        <v>1</v>
      </c>
    </row>
    <row r="679" customHeight="1" spans="1:6">
      <c r="A679" s="22">
        <v>45746</v>
      </c>
      <c r="B679" s="28" t="s">
        <v>1477</v>
      </c>
      <c r="C679" s="28">
        <v>18986709788</v>
      </c>
      <c r="D679" s="23"/>
      <c r="E679" s="23" t="s">
        <v>1478</v>
      </c>
      <c r="F679" s="23">
        <v>1</v>
      </c>
    </row>
    <row r="680" customHeight="1" spans="1:6">
      <c r="A680" s="22">
        <v>45746</v>
      </c>
      <c r="B680" s="28" t="s">
        <v>1479</v>
      </c>
      <c r="C680" s="28">
        <v>19171556930</v>
      </c>
      <c r="D680" s="23"/>
      <c r="E680" s="23" t="s">
        <v>753</v>
      </c>
      <c r="F680" s="23">
        <v>1</v>
      </c>
    </row>
    <row r="681" customHeight="1" spans="1:6">
      <c r="A681" s="22">
        <v>45747</v>
      </c>
      <c r="B681" s="28" t="s">
        <v>1480</v>
      </c>
      <c r="C681" s="28">
        <v>15271899129</v>
      </c>
      <c r="D681" s="23"/>
      <c r="E681" s="23" t="s">
        <v>725</v>
      </c>
      <c r="F681" s="23">
        <v>2</v>
      </c>
    </row>
    <row r="682" customHeight="1" spans="1:6">
      <c r="A682" s="22">
        <v>45747</v>
      </c>
      <c r="B682" s="28" t="s">
        <v>1481</v>
      </c>
      <c r="C682" s="28">
        <v>18390804175</v>
      </c>
      <c r="D682" s="23"/>
      <c r="E682" s="23" t="s">
        <v>725</v>
      </c>
      <c r="F682" s="23">
        <v>2</v>
      </c>
    </row>
    <row r="683" customHeight="1" spans="1:6">
      <c r="A683" s="22">
        <v>45748</v>
      </c>
      <c r="B683" s="26" t="s">
        <v>1482</v>
      </c>
      <c r="C683" s="26">
        <v>19224549721</v>
      </c>
      <c r="D683" s="23"/>
      <c r="E683" s="23" t="s">
        <v>725</v>
      </c>
      <c r="F683" s="23">
        <v>2</v>
      </c>
    </row>
    <row r="684" customHeight="1" spans="1:6">
      <c r="A684" s="22">
        <v>45748</v>
      </c>
      <c r="B684" s="29" t="s">
        <v>1483</v>
      </c>
      <c r="C684" s="29">
        <v>15377556332</v>
      </c>
      <c r="D684" s="23"/>
      <c r="E684" s="23" t="s">
        <v>725</v>
      </c>
      <c r="F684" s="23">
        <v>2</v>
      </c>
    </row>
    <row r="685" customHeight="1" spans="1:6">
      <c r="A685" s="22">
        <v>45748</v>
      </c>
      <c r="B685" s="26" t="s">
        <v>1484</v>
      </c>
      <c r="C685" s="26">
        <v>15171574756</v>
      </c>
      <c r="D685" s="23"/>
      <c r="E685" s="23" t="s">
        <v>1485</v>
      </c>
      <c r="F685" s="23">
        <v>3</v>
      </c>
    </row>
    <row r="686" customHeight="1" spans="1:6">
      <c r="A686" s="22">
        <v>45748</v>
      </c>
      <c r="B686" s="29" t="s">
        <v>1486</v>
      </c>
      <c r="C686" s="29">
        <v>18503950775</v>
      </c>
      <c r="D686" s="23"/>
      <c r="E686" s="23" t="s">
        <v>725</v>
      </c>
      <c r="F686" s="23">
        <v>2</v>
      </c>
    </row>
    <row r="687" customHeight="1" spans="1:6">
      <c r="A687" s="22">
        <v>45748</v>
      </c>
      <c r="B687" s="26" t="s">
        <v>1487</v>
      </c>
      <c r="C687" s="26">
        <v>17316671113</v>
      </c>
      <c r="D687" s="23"/>
      <c r="E687" s="23" t="s">
        <v>725</v>
      </c>
      <c r="F687" s="23">
        <v>2</v>
      </c>
    </row>
    <row r="688" customHeight="1" spans="1:6">
      <c r="A688" s="22">
        <v>45748</v>
      </c>
      <c r="B688" s="26" t="s">
        <v>1488</v>
      </c>
      <c r="C688" s="26">
        <v>15027240116</v>
      </c>
      <c r="D688" s="23"/>
      <c r="E688" s="23" t="s">
        <v>1208</v>
      </c>
      <c r="F688" s="23">
        <v>3</v>
      </c>
    </row>
    <row r="689" customHeight="1" spans="1:6">
      <c r="A689" s="22">
        <v>45748</v>
      </c>
      <c r="B689" s="26" t="s">
        <v>1489</v>
      </c>
      <c r="C689" s="26">
        <v>13986185101</v>
      </c>
      <c r="D689" s="23"/>
      <c r="E689" s="23" t="s">
        <v>1490</v>
      </c>
      <c r="F689" s="23">
        <v>3</v>
      </c>
    </row>
    <row r="690" customHeight="1" spans="1:6">
      <c r="A690" s="22">
        <v>45749</v>
      </c>
      <c r="B690" s="26" t="s">
        <v>1491</v>
      </c>
      <c r="C690" s="26">
        <v>15298857354</v>
      </c>
      <c r="D690" s="23"/>
      <c r="E690" s="23" t="s">
        <v>876</v>
      </c>
      <c r="F690" s="23">
        <v>1</v>
      </c>
    </row>
    <row r="691" customHeight="1" spans="1:6">
      <c r="A691" s="22">
        <v>45750</v>
      </c>
      <c r="B691" s="26" t="s">
        <v>1492</v>
      </c>
      <c r="C691" s="26">
        <v>13871994462</v>
      </c>
      <c r="D691" s="23"/>
      <c r="E691" s="23" t="s">
        <v>876</v>
      </c>
      <c r="F691" s="23">
        <v>1</v>
      </c>
    </row>
    <row r="692" customHeight="1" spans="1:6">
      <c r="A692" s="22">
        <v>45750</v>
      </c>
      <c r="B692" s="26" t="s">
        <v>1493</v>
      </c>
      <c r="C692" s="26">
        <v>17398243987</v>
      </c>
      <c r="D692" s="23"/>
      <c r="E692" s="23" t="s">
        <v>876</v>
      </c>
      <c r="F692" s="23">
        <v>1</v>
      </c>
    </row>
    <row r="693" customHeight="1" spans="1:6">
      <c r="A693" s="22">
        <v>45750</v>
      </c>
      <c r="B693" s="26" t="s">
        <v>1494</v>
      </c>
      <c r="C693" s="26">
        <v>15392671129</v>
      </c>
      <c r="D693" s="23"/>
      <c r="E693" s="23" t="s">
        <v>725</v>
      </c>
      <c r="F693" s="23">
        <v>2</v>
      </c>
    </row>
    <row r="694" customHeight="1" spans="1:6">
      <c r="A694" s="22">
        <v>45751</v>
      </c>
      <c r="B694" s="26" t="s">
        <v>1495</v>
      </c>
      <c r="C694" s="26">
        <v>15180836711</v>
      </c>
      <c r="D694" s="23"/>
      <c r="E694" s="23" t="s">
        <v>725</v>
      </c>
      <c r="F694" s="23">
        <v>2</v>
      </c>
    </row>
    <row r="695" customHeight="1" spans="1:6">
      <c r="A695" s="22">
        <v>45751</v>
      </c>
      <c r="B695" s="26" t="s">
        <v>1496</v>
      </c>
      <c r="C695" s="26">
        <v>13627176518</v>
      </c>
      <c r="D695" s="23"/>
      <c r="E695" s="23" t="s">
        <v>725</v>
      </c>
      <c r="F695" s="23">
        <v>2</v>
      </c>
    </row>
    <row r="696" customHeight="1" spans="1:6">
      <c r="A696" s="22">
        <v>45752</v>
      </c>
      <c r="B696" s="26" t="s">
        <v>422</v>
      </c>
      <c r="C696" s="26">
        <v>13923808320</v>
      </c>
      <c r="D696" s="23"/>
      <c r="E696" s="23" t="s">
        <v>876</v>
      </c>
      <c r="F696" s="23">
        <v>1</v>
      </c>
    </row>
    <row r="697" customHeight="1" spans="1:6">
      <c r="A697" s="22">
        <v>45752</v>
      </c>
      <c r="B697" s="26" t="s">
        <v>1497</v>
      </c>
      <c r="C697" s="26">
        <v>13373984193</v>
      </c>
      <c r="D697" s="23"/>
      <c r="E697" s="23" t="s">
        <v>843</v>
      </c>
      <c r="F697" s="23">
        <v>1</v>
      </c>
    </row>
    <row r="698" customHeight="1" spans="1:6">
      <c r="A698" s="22">
        <v>45753</v>
      </c>
      <c r="B698" s="26" t="s">
        <v>1438</v>
      </c>
      <c r="C698" s="26">
        <v>15623700106</v>
      </c>
      <c r="D698" s="23"/>
      <c r="E698" s="23" t="s">
        <v>725</v>
      </c>
      <c r="F698" s="23">
        <v>2</v>
      </c>
    </row>
    <row r="699" customHeight="1" spans="1:6">
      <c r="A699" s="22">
        <v>45753</v>
      </c>
      <c r="B699" s="26" t="s">
        <v>1498</v>
      </c>
      <c r="C699" s="26">
        <v>18771959175</v>
      </c>
      <c r="D699" s="23"/>
      <c r="E699" s="23" t="s">
        <v>725</v>
      </c>
      <c r="F699" s="23">
        <v>2</v>
      </c>
    </row>
    <row r="700" customHeight="1" spans="1:6">
      <c r="A700" s="22">
        <v>45753</v>
      </c>
      <c r="B700" s="26" t="s">
        <v>1499</v>
      </c>
      <c r="C700" s="26">
        <v>18106477465</v>
      </c>
      <c r="D700" s="23"/>
      <c r="E700" s="23" t="s">
        <v>725</v>
      </c>
      <c r="F700" s="23">
        <v>2</v>
      </c>
    </row>
    <row r="701" customHeight="1" spans="1:6">
      <c r="A701" s="22">
        <v>45753</v>
      </c>
      <c r="B701" s="26" t="s">
        <v>1500</v>
      </c>
      <c r="C701" s="26">
        <v>16699250137</v>
      </c>
      <c r="D701" s="23"/>
      <c r="E701" s="23" t="s">
        <v>876</v>
      </c>
      <c r="F701" s="23">
        <v>1</v>
      </c>
    </row>
    <row r="702" customHeight="1" spans="1:6">
      <c r="A702" s="22">
        <v>45753</v>
      </c>
      <c r="B702" s="26" t="s">
        <v>1501</v>
      </c>
      <c r="C702" s="26">
        <v>13586286438</v>
      </c>
      <c r="D702" s="23"/>
      <c r="E702" s="23" t="s">
        <v>725</v>
      </c>
      <c r="F702" s="23">
        <v>2</v>
      </c>
    </row>
    <row r="703" customHeight="1" spans="1:6">
      <c r="A703" s="22">
        <v>45754</v>
      </c>
      <c r="B703" s="26" t="s">
        <v>1502</v>
      </c>
      <c r="C703" s="26">
        <v>18177422950</v>
      </c>
      <c r="D703" s="23"/>
      <c r="E703" s="23" t="s">
        <v>725</v>
      </c>
      <c r="F703" s="23">
        <v>2</v>
      </c>
    </row>
    <row r="704" customHeight="1" spans="1:6">
      <c r="A704" s="22">
        <v>45755</v>
      </c>
      <c r="B704" s="26" t="s">
        <v>1503</v>
      </c>
      <c r="C704" s="26">
        <v>15159301516</v>
      </c>
      <c r="D704" s="23"/>
      <c r="E704" s="23" t="s">
        <v>725</v>
      </c>
      <c r="F704" s="23">
        <v>2</v>
      </c>
    </row>
    <row r="705" customHeight="1" spans="1:6">
      <c r="A705" s="22">
        <v>45756</v>
      </c>
      <c r="B705" s="26" t="s">
        <v>1504</v>
      </c>
      <c r="C705" s="26">
        <v>15871813895</v>
      </c>
      <c r="D705" s="23"/>
      <c r="E705" s="23" t="s">
        <v>725</v>
      </c>
      <c r="F705" s="23">
        <v>2</v>
      </c>
    </row>
    <row r="706" customHeight="1" spans="1:6">
      <c r="A706" s="22">
        <v>45757</v>
      </c>
      <c r="B706" s="26" t="s">
        <v>1505</v>
      </c>
      <c r="C706" s="26">
        <v>15871382308</v>
      </c>
      <c r="D706" s="23"/>
      <c r="E706" s="23" t="s">
        <v>876</v>
      </c>
      <c r="F706" s="23">
        <v>1</v>
      </c>
    </row>
    <row r="707" customHeight="1" spans="1:6">
      <c r="A707" s="22">
        <v>45757</v>
      </c>
      <c r="B707" s="26" t="s">
        <v>1506</v>
      </c>
      <c r="C707" s="26">
        <v>19973767755</v>
      </c>
      <c r="D707" s="23"/>
      <c r="E707" s="23" t="s">
        <v>983</v>
      </c>
      <c r="F707" s="23">
        <v>1</v>
      </c>
    </row>
    <row r="708" customHeight="1" spans="1:6">
      <c r="A708" s="22">
        <v>45758</v>
      </c>
      <c r="B708" s="26" t="s">
        <v>1507</v>
      </c>
      <c r="C708" s="26">
        <v>15085056899</v>
      </c>
      <c r="D708" s="23"/>
      <c r="E708" s="23" t="s">
        <v>753</v>
      </c>
      <c r="F708" s="23">
        <v>11</v>
      </c>
    </row>
    <row r="709" customHeight="1" spans="1:6">
      <c r="A709" s="22">
        <v>45760</v>
      </c>
      <c r="B709" s="26" t="s">
        <v>1508</v>
      </c>
      <c r="C709" s="26">
        <v>13807192244</v>
      </c>
      <c r="D709" s="23"/>
      <c r="E709" s="23" t="s">
        <v>742</v>
      </c>
      <c r="F709" s="23">
        <v>1</v>
      </c>
    </row>
    <row r="710" customHeight="1" spans="1:6">
      <c r="A710" s="22">
        <v>45760</v>
      </c>
      <c r="B710" s="26" t="s">
        <v>1509</v>
      </c>
      <c r="C710" s="26">
        <v>18827058523</v>
      </c>
      <c r="D710" s="23"/>
      <c r="E710" s="23" t="s">
        <v>742</v>
      </c>
      <c r="F710" s="23">
        <v>1</v>
      </c>
    </row>
    <row r="711" customHeight="1" spans="1:6">
      <c r="A711" s="22">
        <v>45761</v>
      </c>
      <c r="B711" s="26" t="s">
        <v>1510</v>
      </c>
      <c r="C711" s="26">
        <v>15623603272</v>
      </c>
      <c r="D711" s="23"/>
      <c r="E711" s="23" t="s">
        <v>725</v>
      </c>
      <c r="F711" s="23">
        <v>2</v>
      </c>
    </row>
    <row r="712" customHeight="1" spans="1:6">
      <c r="A712" s="22">
        <v>45761</v>
      </c>
      <c r="B712" s="26" t="s">
        <v>1511</v>
      </c>
      <c r="C712" s="26">
        <v>15827070684</v>
      </c>
      <c r="D712" s="23"/>
      <c r="E712" s="23" t="s">
        <v>725</v>
      </c>
      <c r="F712" s="23">
        <v>2</v>
      </c>
    </row>
    <row r="713" customHeight="1" spans="1:6">
      <c r="A713" s="22">
        <v>45761</v>
      </c>
      <c r="B713" s="26" t="s">
        <v>1512</v>
      </c>
      <c r="C713" s="26">
        <v>18955848291</v>
      </c>
      <c r="D713" s="23"/>
      <c r="E713" s="23" t="s">
        <v>725</v>
      </c>
      <c r="F713" s="23">
        <v>2</v>
      </c>
    </row>
    <row r="714" customHeight="1" spans="1:6">
      <c r="A714" s="22">
        <v>45761</v>
      </c>
      <c r="B714" s="26" t="s">
        <v>1513</v>
      </c>
      <c r="C714" s="26">
        <v>18771776339</v>
      </c>
      <c r="D714" s="23"/>
      <c r="E714" s="23" t="s">
        <v>725</v>
      </c>
      <c r="F714" s="23">
        <v>2</v>
      </c>
    </row>
    <row r="715" customHeight="1" spans="1:6">
      <c r="A715" s="22">
        <v>45762</v>
      </c>
      <c r="B715" s="23"/>
      <c r="C715" s="23" t="s">
        <v>1514</v>
      </c>
      <c r="D715" s="23"/>
      <c r="E715" s="23" t="s">
        <v>800</v>
      </c>
      <c r="F715" s="23">
        <v>10</v>
      </c>
    </row>
    <row r="716" customHeight="1" spans="1:6">
      <c r="A716" s="22">
        <v>45762</v>
      </c>
      <c r="B716" s="26" t="s">
        <v>1515</v>
      </c>
      <c r="C716" s="26">
        <v>13783487737</v>
      </c>
      <c r="D716" s="23"/>
      <c r="E716" s="23" t="s">
        <v>725</v>
      </c>
      <c r="F716" s="23">
        <v>2</v>
      </c>
    </row>
    <row r="717" customHeight="1" spans="1:6">
      <c r="A717" s="22">
        <v>45762</v>
      </c>
      <c r="B717" s="26" t="s">
        <v>1516</v>
      </c>
      <c r="C717" s="26">
        <v>15771110236</v>
      </c>
      <c r="D717" s="23"/>
      <c r="E717" s="23" t="s">
        <v>725</v>
      </c>
      <c r="F717" s="23">
        <v>2</v>
      </c>
    </row>
    <row r="718" customHeight="1" spans="1:6">
      <c r="A718" s="22">
        <v>45763</v>
      </c>
      <c r="B718" s="26" t="s">
        <v>1517</v>
      </c>
      <c r="C718" s="26">
        <v>15623905753</v>
      </c>
      <c r="D718" s="23"/>
      <c r="E718" s="23" t="s">
        <v>725</v>
      </c>
      <c r="F718" s="23">
        <v>2</v>
      </c>
    </row>
    <row r="719" customHeight="1" spans="1:6">
      <c r="A719" s="22">
        <v>45763</v>
      </c>
      <c r="B719" s="26" t="s">
        <v>1518</v>
      </c>
      <c r="C719" s="26">
        <v>15871494145</v>
      </c>
      <c r="D719" s="23"/>
      <c r="E719" s="23" t="s">
        <v>810</v>
      </c>
      <c r="F719" s="23">
        <v>1</v>
      </c>
    </row>
    <row r="720" customHeight="1" spans="1:6">
      <c r="A720" s="22">
        <v>45766</v>
      </c>
      <c r="B720" s="26" t="s">
        <v>1519</v>
      </c>
      <c r="C720" s="26">
        <v>15927518266</v>
      </c>
      <c r="D720" s="23"/>
      <c r="E720" s="23" t="s">
        <v>725</v>
      </c>
      <c r="F720" s="23">
        <v>2</v>
      </c>
    </row>
    <row r="721" customHeight="1" spans="1:6">
      <c r="A721" s="22">
        <v>45766</v>
      </c>
      <c r="B721" s="26" t="s">
        <v>1520</v>
      </c>
      <c r="C721" s="26">
        <v>15878762637</v>
      </c>
      <c r="D721" s="23"/>
      <c r="E721" s="23" t="s">
        <v>725</v>
      </c>
      <c r="F721" s="23">
        <v>2</v>
      </c>
    </row>
    <row r="722" customHeight="1" spans="1:6">
      <c r="A722" s="22">
        <v>45767</v>
      </c>
      <c r="B722" s="26" t="s">
        <v>1521</v>
      </c>
      <c r="C722" s="26">
        <v>13227255623</v>
      </c>
      <c r="D722" s="23"/>
      <c r="E722" s="23" t="s">
        <v>725</v>
      </c>
      <c r="F722" s="23">
        <v>2</v>
      </c>
    </row>
    <row r="723" customHeight="1" spans="1:6">
      <c r="A723" s="22">
        <v>45767</v>
      </c>
      <c r="B723" s="26" t="s">
        <v>996</v>
      </c>
      <c r="C723" s="26">
        <v>18164115259</v>
      </c>
      <c r="D723" s="23"/>
      <c r="E723" s="23" t="s">
        <v>725</v>
      </c>
      <c r="F723" s="23">
        <v>2</v>
      </c>
    </row>
    <row r="724" customHeight="1" spans="1:6">
      <c r="A724" s="22">
        <v>45767</v>
      </c>
      <c r="B724" s="26" t="s">
        <v>1522</v>
      </c>
      <c r="C724" s="26">
        <v>17760268921</v>
      </c>
      <c r="D724" s="23"/>
      <c r="E724" s="23" t="s">
        <v>725</v>
      </c>
      <c r="F724" s="23">
        <v>2</v>
      </c>
    </row>
    <row r="725" customHeight="1" spans="1:6">
      <c r="A725" s="22">
        <v>45767</v>
      </c>
      <c r="B725" s="26" t="s">
        <v>1523</v>
      </c>
      <c r="C725" s="26">
        <v>18327105614</v>
      </c>
      <c r="D725" s="23"/>
      <c r="E725" s="23" t="s">
        <v>725</v>
      </c>
      <c r="F725" s="23">
        <v>2</v>
      </c>
    </row>
    <row r="726" customHeight="1" spans="1:6">
      <c r="A726" s="22">
        <v>45768</v>
      </c>
      <c r="B726" s="26" t="s">
        <v>1524</v>
      </c>
      <c r="C726" s="26">
        <v>17771086523</v>
      </c>
      <c r="D726" s="23"/>
      <c r="E726" s="23" t="s">
        <v>1525</v>
      </c>
      <c r="F726" s="23">
        <v>3</v>
      </c>
    </row>
    <row r="727" customHeight="1" spans="1:6">
      <c r="A727" s="22">
        <v>45769</v>
      </c>
      <c r="B727" s="26" t="s">
        <v>1526</v>
      </c>
      <c r="C727" s="26">
        <v>18047653681</v>
      </c>
      <c r="D727" s="23"/>
      <c r="E727" s="23" t="s">
        <v>1527</v>
      </c>
      <c r="F727" s="23">
        <v>3</v>
      </c>
    </row>
    <row r="728" customHeight="1" spans="1:6">
      <c r="A728" s="22">
        <v>45769</v>
      </c>
      <c r="B728" s="26" t="s">
        <v>1528</v>
      </c>
      <c r="C728" s="26">
        <v>18674177001</v>
      </c>
      <c r="D728" s="23"/>
      <c r="E728" s="23" t="s">
        <v>980</v>
      </c>
      <c r="F728" s="23">
        <v>1</v>
      </c>
    </row>
    <row r="729" customHeight="1" spans="1:6">
      <c r="A729" s="22">
        <v>45769</v>
      </c>
      <c r="B729" s="26" t="s">
        <v>1529</v>
      </c>
      <c r="C729" s="26">
        <v>13545261038</v>
      </c>
      <c r="D729" s="23"/>
      <c r="E729" s="23" t="s">
        <v>980</v>
      </c>
      <c r="F729" s="23">
        <v>1</v>
      </c>
    </row>
    <row r="730" customHeight="1" spans="1:6">
      <c r="A730" s="22">
        <v>45773</v>
      </c>
      <c r="B730" s="26" t="s">
        <v>1530</v>
      </c>
      <c r="C730" s="26">
        <v>18789977722</v>
      </c>
      <c r="D730" s="23"/>
      <c r="E730" s="23" t="s">
        <v>1531</v>
      </c>
      <c r="F730" s="23">
        <v>1</v>
      </c>
    </row>
    <row r="731" customHeight="1" spans="1:6">
      <c r="A731" s="22">
        <v>45773</v>
      </c>
      <c r="B731" s="26" t="s">
        <v>1532</v>
      </c>
      <c r="C731" s="26">
        <v>18161554674</v>
      </c>
      <c r="D731" s="23"/>
      <c r="E731" s="23" t="s">
        <v>1533</v>
      </c>
      <c r="F731" s="23">
        <v>1</v>
      </c>
    </row>
    <row r="732" customHeight="1" spans="1:6">
      <c r="A732" s="22">
        <v>45773</v>
      </c>
      <c r="B732" s="26" t="s">
        <v>1534</v>
      </c>
      <c r="C732" s="26">
        <v>13437967400</v>
      </c>
      <c r="D732" s="23"/>
      <c r="E732" s="23" t="s">
        <v>1535</v>
      </c>
      <c r="F732" s="23">
        <v>2</v>
      </c>
    </row>
    <row r="733" customHeight="1" spans="1:6">
      <c r="A733" s="22">
        <v>45773</v>
      </c>
      <c r="B733" s="26" t="s">
        <v>1536</v>
      </c>
      <c r="C733" s="26">
        <v>19891914614</v>
      </c>
      <c r="D733" s="23"/>
      <c r="E733" s="23" t="s">
        <v>800</v>
      </c>
      <c r="F733" s="23">
        <v>1</v>
      </c>
    </row>
    <row r="734" customHeight="1" spans="1:6">
      <c r="A734" s="22">
        <v>45773</v>
      </c>
      <c r="B734" s="26" t="s">
        <v>1537</v>
      </c>
      <c r="C734" s="26">
        <v>15972070414</v>
      </c>
      <c r="D734" s="23"/>
      <c r="E734" s="23" t="s">
        <v>1538</v>
      </c>
      <c r="F734" s="23">
        <v>2</v>
      </c>
    </row>
    <row r="735" customHeight="1" spans="1:6">
      <c r="A735" s="22">
        <v>45773</v>
      </c>
      <c r="B735" s="26" t="s">
        <v>1539</v>
      </c>
      <c r="C735" s="26">
        <v>15673345117</v>
      </c>
      <c r="D735" s="23"/>
      <c r="E735" s="23" t="s">
        <v>800</v>
      </c>
      <c r="F735" s="23">
        <v>1</v>
      </c>
    </row>
    <row r="736" customHeight="1" spans="1:6">
      <c r="A736" s="22">
        <v>45773</v>
      </c>
      <c r="B736" s="26" t="s">
        <v>1540</v>
      </c>
      <c r="C736" s="26">
        <v>18107202972</v>
      </c>
      <c r="D736" s="23"/>
      <c r="E736" s="23" t="s">
        <v>1538</v>
      </c>
      <c r="F736" s="23">
        <v>2</v>
      </c>
    </row>
    <row r="737" customHeight="1" spans="1:6">
      <c r="A737" s="22">
        <v>45773</v>
      </c>
      <c r="B737" s="26" t="s">
        <v>1541</v>
      </c>
      <c r="C737" s="26">
        <v>18934699409</v>
      </c>
      <c r="D737" s="23"/>
      <c r="E737" s="23" t="s">
        <v>795</v>
      </c>
      <c r="F737" s="23">
        <v>1</v>
      </c>
    </row>
    <row r="738" customHeight="1" spans="1:6">
      <c r="A738" s="22">
        <v>45773</v>
      </c>
      <c r="B738" s="26" t="s">
        <v>1542</v>
      </c>
      <c r="C738" s="26">
        <v>13349979559</v>
      </c>
      <c r="D738" s="23"/>
      <c r="E738" s="23" t="s">
        <v>1535</v>
      </c>
      <c r="F738" s="23">
        <v>2</v>
      </c>
    </row>
    <row r="739" customHeight="1" spans="1:6">
      <c r="A739" s="22">
        <v>45773</v>
      </c>
      <c r="B739" s="26" t="s">
        <v>1543</v>
      </c>
      <c r="C739" s="26">
        <v>18627015562</v>
      </c>
      <c r="D739" s="23"/>
      <c r="E739" s="23" t="s">
        <v>1544</v>
      </c>
      <c r="F739" s="23">
        <v>3</v>
      </c>
    </row>
    <row r="740" customHeight="1" spans="1:6">
      <c r="A740" s="22">
        <v>45773</v>
      </c>
      <c r="B740" s="26" t="s">
        <v>1545</v>
      </c>
      <c r="C740" s="26">
        <v>18187030401</v>
      </c>
      <c r="D740" s="23"/>
      <c r="E740" s="23" t="s">
        <v>1533</v>
      </c>
      <c r="F740" s="23">
        <v>1</v>
      </c>
    </row>
    <row r="741" customHeight="1" spans="1:6">
      <c r="A741" s="22">
        <v>45773</v>
      </c>
      <c r="B741" s="26" t="s">
        <v>1546</v>
      </c>
      <c r="C741" s="26">
        <v>17320519860</v>
      </c>
      <c r="D741" s="23"/>
      <c r="E741" s="23" t="s">
        <v>795</v>
      </c>
      <c r="F741" s="23">
        <v>1</v>
      </c>
    </row>
    <row r="742" customHeight="1" spans="1:6">
      <c r="A742" s="22">
        <v>45773</v>
      </c>
      <c r="B742" s="26" t="s">
        <v>1547</v>
      </c>
      <c r="C742" s="26">
        <v>15083648500</v>
      </c>
      <c r="D742" s="23"/>
      <c r="E742" s="23" t="s">
        <v>980</v>
      </c>
      <c r="F742" s="23">
        <v>1</v>
      </c>
    </row>
    <row r="743" customHeight="1" spans="1:6">
      <c r="A743" s="22">
        <v>45773</v>
      </c>
      <c r="B743" s="26" t="s">
        <v>1420</v>
      </c>
      <c r="C743" s="26">
        <v>18339967202</v>
      </c>
      <c r="D743" s="23"/>
      <c r="E743" s="23" t="s">
        <v>800</v>
      </c>
      <c r="F743" s="23">
        <v>1</v>
      </c>
    </row>
    <row r="744" customHeight="1" spans="1:6">
      <c r="A744" s="22">
        <v>45773</v>
      </c>
      <c r="B744" s="26" t="s">
        <v>1548</v>
      </c>
      <c r="C744" s="26">
        <v>15804171025</v>
      </c>
      <c r="D744" s="23"/>
      <c r="E744" s="23" t="s">
        <v>1549</v>
      </c>
      <c r="F744" s="23">
        <v>1</v>
      </c>
    </row>
    <row r="745" customHeight="1" spans="1:6">
      <c r="A745" s="22">
        <v>45773</v>
      </c>
      <c r="B745" s="26" t="s">
        <v>1550</v>
      </c>
      <c r="C745" s="26">
        <v>13477002880</v>
      </c>
      <c r="D745" s="23"/>
      <c r="E745" s="23" t="s">
        <v>1478</v>
      </c>
      <c r="F745" s="23">
        <v>1</v>
      </c>
    </row>
    <row r="746" customHeight="1" spans="1:6">
      <c r="A746" s="22">
        <v>45773</v>
      </c>
      <c r="B746" s="26" t="s">
        <v>1551</v>
      </c>
      <c r="C746" s="26">
        <v>15623151670</v>
      </c>
      <c r="D746" s="23"/>
      <c r="E746" s="23" t="s">
        <v>1478</v>
      </c>
      <c r="F746" s="23">
        <v>1</v>
      </c>
    </row>
    <row r="747" customHeight="1" spans="1:6">
      <c r="A747" s="22">
        <v>45773</v>
      </c>
      <c r="B747" s="26" t="s">
        <v>1552</v>
      </c>
      <c r="C747" s="26">
        <v>13118778921</v>
      </c>
      <c r="D747" s="23"/>
      <c r="E747" s="23" t="s">
        <v>1553</v>
      </c>
      <c r="F747" s="23">
        <v>1</v>
      </c>
    </row>
    <row r="748" customHeight="1" spans="1:6">
      <c r="A748" s="22">
        <v>45773</v>
      </c>
      <c r="B748" s="26" t="s">
        <v>1554</v>
      </c>
      <c r="C748" s="26">
        <v>17302711132</v>
      </c>
      <c r="D748" s="23"/>
      <c r="E748" s="23" t="s">
        <v>980</v>
      </c>
      <c r="F748" s="23">
        <v>1</v>
      </c>
    </row>
    <row r="749" customHeight="1" spans="1:6">
      <c r="A749" s="22">
        <v>45773</v>
      </c>
      <c r="B749" s="26" t="s">
        <v>1555</v>
      </c>
      <c r="C749" s="26">
        <v>18014451722</v>
      </c>
      <c r="D749" s="23"/>
      <c r="E749" s="23" t="s">
        <v>797</v>
      </c>
      <c r="F749" s="23">
        <v>1</v>
      </c>
    </row>
    <row r="750" customHeight="1" spans="1:6">
      <c r="A750" s="22">
        <v>45774</v>
      </c>
      <c r="B750" s="26" t="s">
        <v>1556</v>
      </c>
      <c r="C750" s="26">
        <v>18063755398</v>
      </c>
      <c r="D750" s="23"/>
      <c r="E750" s="23" t="s">
        <v>760</v>
      </c>
      <c r="F750" s="23">
        <v>1</v>
      </c>
    </row>
    <row r="751" customHeight="1" spans="1:6">
      <c r="A751" s="22">
        <v>45774</v>
      </c>
      <c r="B751" s="26" t="s">
        <v>1557</v>
      </c>
      <c r="C751" s="26">
        <v>13212759534</v>
      </c>
      <c r="D751" s="23"/>
      <c r="E751" s="23" t="s">
        <v>810</v>
      </c>
      <c r="F751" s="23">
        <v>1</v>
      </c>
    </row>
    <row r="752" customHeight="1" spans="1:6">
      <c r="A752" s="22">
        <v>45774</v>
      </c>
      <c r="B752" s="26" t="s">
        <v>1558</v>
      </c>
      <c r="C752" s="26">
        <v>15109614420</v>
      </c>
      <c r="D752" s="23"/>
      <c r="E752" s="23" t="s">
        <v>1046</v>
      </c>
      <c r="F752" s="23">
        <v>1</v>
      </c>
    </row>
    <row r="753" customHeight="1" spans="1:6">
      <c r="A753" s="22">
        <v>45774</v>
      </c>
      <c r="B753" s="26" t="s">
        <v>1043</v>
      </c>
      <c r="C753" s="26">
        <v>18372668106</v>
      </c>
      <c r="D753" s="23"/>
      <c r="E753" s="23" t="s">
        <v>1046</v>
      </c>
      <c r="F753" s="23">
        <v>1</v>
      </c>
    </row>
    <row r="754" customHeight="1" spans="1:6">
      <c r="A754" s="22">
        <v>45774</v>
      </c>
      <c r="B754" s="26" t="s">
        <v>1559</v>
      </c>
      <c r="C754" s="26">
        <v>13330131993</v>
      </c>
      <c r="D754" s="23"/>
      <c r="E754" s="23" t="s">
        <v>773</v>
      </c>
      <c r="F754" s="23">
        <v>1</v>
      </c>
    </row>
    <row r="755" customHeight="1" spans="1:6">
      <c r="A755" s="22">
        <v>45774</v>
      </c>
      <c r="B755" s="26" t="s">
        <v>560</v>
      </c>
      <c r="C755" s="26">
        <v>15527240331</v>
      </c>
      <c r="D755" s="23"/>
      <c r="E755" s="23" t="s">
        <v>980</v>
      </c>
      <c r="F755" s="23">
        <v>1</v>
      </c>
    </row>
    <row r="756" customHeight="1" spans="1:6">
      <c r="A756" s="22">
        <v>45775</v>
      </c>
      <c r="B756" s="26" t="s">
        <v>1560</v>
      </c>
      <c r="C756" s="26">
        <v>13409917193</v>
      </c>
      <c r="D756" s="23"/>
      <c r="E756" s="23" t="s">
        <v>1533</v>
      </c>
      <c r="F756" s="23">
        <v>1</v>
      </c>
    </row>
    <row r="757" customHeight="1" spans="1:6">
      <c r="A757" s="22">
        <v>45775</v>
      </c>
      <c r="B757" s="26" t="s">
        <v>1561</v>
      </c>
      <c r="C757" s="26">
        <v>18719065197</v>
      </c>
      <c r="D757" s="23"/>
      <c r="E757" s="23" t="s">
        <v>1046</v>
      </c>
      <c r="F757" s="23">
        <v>1</v>
      </c>
    </row>
    <row r="758" customHeight="1" spans="1:6">
      <c r="A758" s="22">
        <v>45775</v>
      </c>
      <c r="B758" s="26" t="s">
        <v>1562</v>
      </c>
      <c r="C758" s="26">
        <v>13181510886</v>
      </c>
      <c r="D758" s="23"/>
      <c r="E758" s="23" t="s">
        <v>1533</v>
      </c>
      <c r="F758" s="23">
        <v>1</v>
      </c>
    </row>
    <row r="759" customHeight="1" spans="1:6">
      <c r="A759" s="22">
        <v>45776</v>
      </c>
      <c r="B759" s="26" t="s">
        <v>1563</v>
      </c>
      <c r="C759" s="26">
        <v>18627852657</v>
      </c>
      <c r="D759" s="23"/>
      <c r="E759" s="23" t="s">
        <v>1564</v>
      </c>
      <c r="F759" s="23">
        <v>1</v>
      </c>
    </row>
    <row r="760" customHeight="1" spans="1:6">
      <c r="A760" s="22">
        <v>45781</v>
      </c>
      <c r="B760" s="29" t="s">
        <v>1565</v>
      </c>
      <c r="C760" s="29" t="s">
        <v>1566</v>
      </c>
      <c r="D760" s="23"/>
      <c r="E760" s="23" t="s">
        <v>1567</v>
      </c>
      <c r="F760" s="23"/>
    </row>
    <row r="761" customHeight="1" spans="1:6">
      <c r="A761" s="22">
        <v>45782</v>
      </c>
      <c r="B761" s="26" t="s">
        <v>1568</v>
      </c>
      <c r="C761" s="26">
        <v>18827553503</v>
      </c>
      <c r="D761" s="23"/>
      <c r="E761" s="23" t="s">
        <v>725</v>
      </c>
      <c r="F761" s="23">
        <v>2</v>
      </c>
    </row>
    <row r="762" customHeight="1" spans="1:6">
      <c r="A762" s="22">
        <v>45783</v>
      </c>
      <c r="B762" s="26" t="s">
        <v>1569</v>
      </c>
      <c r="C762" s="26">
        <v>18672514594</v>
      </c>
      <c r="D762" s="23"/>
      <c r="E762" s="23" t="s">
        <v>725</v>
      </c>
      <c r="F762" s="23">
        <v>2</v>
      </c>
    </row>
    <row r="763" customHeight="1" spans="1:6">
      <c r="A763" s="22">
        <v>45784</v>
      </c>
      <c r="B763" s="26" t="s">
        <v>1570</v>
      </c>
      <c r="C763" s="26">
        <v>18571374973</v>
      </c>
      <c r="D763" s="23"/>
      <c r="E763" s="23" t="s">
        <v>980</v>
      </c>
      <c r="F763" s="23">
        <v>1</v>
      </c>
    </row>
    <row r="764" customHeight="1" spans="1:6">
      <c r="A764" s="22">
        <v>45786</v>
      </c>
      <c r="B764" s="26" t="s">
        <v>1571</v>
      </c>
      <c r="C764" s="26">
        <v>17671091496</v>
      </c>
      <c r="D764" s="23"/>
      <c r="E764" s="23" t="s">
        <v>725</v>
      </c>
      <c r="F764" s="23">
        <v>2</v>
      </c>
    </row>
    <row r="765" customHeight="1" spans="1:6">
      <c r="A765" s="22">
        <v>45788</v>
      </c>
      <c r="B765" s="26" t="s">
        <v>1572</v>
      </c>
      <c r="C765" s="26">
        <v>17861593252</v>
      </c>
      <c r="D765" s="23"/>
      <c r="E765" s="23" t="s">
        <v>876</v>
      </c>
      <c r="F765" s="23">
        <v>1</v>
      </c>
    </row>
    <row r="766" customHeight="1" spans="1:6">
      <c r="A766" s="22">
        <v>45793</v>
      </c>
      <c r="B766" s="26" t="s">
        <v>1573</v>
      </c>
      <c r="C766" s="26">
        <v>18977029978</v>
      </c>
      <c r="D766" s="23"/>
      <c r="E766" s="23" t="s">
        <v>1574</v>
      </c>
      <c r="F766" s="23">
        <v>1</v>
      </c>
    </row>
    <row r="767" customHeight="1" spans="1:6">
      <c r="A767" s="22">
        <v>45793</v>
      </c>
      <c r="B767" s="26" t="s">
        <v>1575</v>
      </c>
      <c r="C767" s="26">
        <v>18175555625</v>
      </c>
      <c r="D767" s="23"/>
      <c r="E767" s="23" t="s">
        <v>1100</v>
      </c>
      <c r="F767" s="23">
        <v>1</v>
      </c>
    </row>
    <row r="768" customHeight="1" spans="1:6">
      <c r="A768" s="22">
        <v>45793</v>
      </c>
      <c r="B768" s="26" t="s">
        <v>1576</v>
      </c>
      <c r="C768" s="26">
        <v>18571673168</v>
      </c>
      <c r="D768" s="23"/>
      <c r="E768" s="23" t="s">
        <v>1019</v>
      </c>
      <c r="F768" s="23">
        <v>1</v>
      </c>
    </row>
    <row r="769" customHeight="1" spans="1:6">
      <c r="A769" s="22">
        <v>45793</v>
      </c>
      <c r="B769" s="26" t="s">
        <v>1577</v>
      </c>
      <c r="C769" s="26">
        <v>18627868696</v>
      </c>
      <c r="D769" s="23"/>
      <c r="E769" s="23" t="s">
        <v>960</v>
      </c>
      <c r="F769" s="23">
        <v>1</v>
      </c>
    </row>
    <row r="770" customHeight="1" spans="1:6">
      <c r="A770" s="22">
        <v>45794</v>
      </c>
      <c r="B770" s="26" t="s">
        <v>1578</v>
      </c>
      <c r="C770" s="26">
        <v>18062557043</v>
      </c>
      <c r="D770" s="23"/>
      <c r="E770" s="23" t="s">
        <v>1579</v>
      </c>
      <c r="F770" s="23">
        <v>1</v>
      </c>
    </row>
    <row r="771" customHeight="1" spans="1:6">
      <c r="A771" s="22">
        <v>45794</v>
      </c>
      <c r="B771" s="26" t="s">
        <v>1580</v>
      </c>
      <c r="C771" s="26">
        <v>1522574396</v>
      </c>
      <c r="D771" s="23"/>
      <c r="E771" s="23" t="s">
        <v>980</v>
      </c>
      <c r="F771" s="23">
        <v>1</v>
      </c>
    </row>
    <row r="772" customHeight="1" spans="1:6">
      <c r="A772" s="22">
        <v>45794</v>
      </c>
      <c r="B772" s="26" t="s">
        <v>1581</v>
      </c>
      <c r="C772" s="26">
        <v>17878644032</v>
      </c>
      <c r="D772" s="23"/>
      <c r="E772" s="23" t="s">
        <v>1582</v>
      </c>
      <c r="F772" s="23">
        <v>1</v>
      </c>
    </row>
    <row r="773" customHeight="1" spans="1:6">
      <c r="A773" s="22">
        <v>45794</v>
      </c>
      <c r="B773" s="26" t="s">
        <v>1583</v>
      </c>
      <c r="C773" s="26">
        <v>18062771538</v>
      </c>
      <c r="D773" s="23"/>
      <c r="E773" s="23" t="s">
        <v>1582</v>
      </c>
      <c r="F773" s="23">
        <v>1</v>
      </c>
    </row>
    <row r="774" customHeight="1" spans="1:6">
      <c r="A774" s="22">
        <v>45794</v>
      </c>
      <c r="B774" s="29" t="s">
        <v>1584</v>
      </c>
      <c r="C774" s="26">
        <v>13601748734</v>
      </c>
      <c r="D774" s="23"/>
      <c r="E774" s="23" t="s">
        <v>1582</v>
      </c>
      <c r="F774" s="23">
        <v>1</v>
      </c>
    </row>
    <row r="775" customHeight="1" spans="1:6">
      <c r="A775" s="22">
        <v>45794</v>
      </c>
      <c r="B775" s="26" t="s">
        <v>1585</v>
      </c>
      <c r="C775" s="26">
        <v>15210659345</v>
      </c>
      <c r="D775" s="23"/>
      <c r="E775" s="23" t="s">
        <v>1579</v>
      </c>
      <c r="F775" s="23">
        <v>1</v>
      </c>
    </row>
    <row r="776" customHeight="1" spans="1:6">
      <c r="A776" s="22">
        <v>45794</v>
      </c>
      <c r="B776" s="26" t="s">
        <v>1586</v>
      </c>
      <c r="C776" s="26">
        <v>18607846490</v>
      </c>
      <c r="D776" s="23"/>
      <c r="E776" s="23" t="s">
        <v>1587</v>
      </c>
      <c r="F776" s="23">
        <v>1</v>
      </c>
    </row>
    <row r="777" customHeight="1" spans="1:6">
      <c r="A777" s="22">
        <v>45794</v>
      </c>
      <c r="B777" s="26" t="s">
        <v>1588</v>
      </c>
      <c r="C777" s="26">
        <v>15527656885</v>
      </c>
      <c r="D777" s="23"/>
      <c r="E777" s="23" t="s">
        <v>1587</v>
      </c>
      <c r="F777" s="23">
        <v>1</v>
      </c>
    </row>
    <row r="778" customHeight="1" spans="1:6">
      <c r="A778" s="22">
        <v>45794</v>
      </c>
      <c r="B778" s="26" t="s">
        <v>1589</v>
      </c>
      <c r="C778" s="26">
        <v>17311011733</v>
      </c>
      <c r="D778" s="23"/>
      <c r="E778" s="23" t="s">
        <v>1535</v>
      </c>
      <c r="F778" s="23">
        <v>2</v>
      </c>
    </row>
    <row r="779" customHeight="1" spans="1:6">
      <c r="A779" s="22">
        <v>45795</v>
      </c>
      <c r="B779" s="26" t="s">
        <v>1590</v>
      </c>
      <c r="C779" s="26">
        <v>18226828723</v>
      </c>
      <c r="D779" s="23"/>
      <c r="E779" s="23" t="s">
        <v>1591</v>
      </c>
      <c r="F779" s="23">
        <v>1</v>
      </c>
    </row>
    <row r="780" customHeight="1" spans="1:6">
      <c r="A780" s="22">
        <v>45795</v>
      </c>
      <c r="B780" s="26" t="s">
        <v>1592</v>
      </c>
      <c r="C780" s="26">
        <v>13704408547</v>
      </c>
      <c r="D780" s="23"/>
      <c r="E780" s="23" t="s">
        <v>1593</v>
      </c>
      <c r="F780" s="23">
        <v>1</v>
      </c>
    </row>
    <row r="781" customHeight="1" spans="1:6">
      <c r="A781" s="22">
        <v>45795</v>
      </c>
      <c r="B781" s="26" t="s">
        <v>1594</v>
      </c>
      <c r="C781" s="26">
        <v>13098880132</v>
      </c>
      <c r="D781" s="23"/>
      <c r="E781" s="23" t="s">
        <v>1595</v>
      </c>
      <c r="F781" s="23">
        <v>2</v>
      </c>
    </row>
    <row r="782" customHeight="1" spans="1:6">
      <c r="A782" s="22">
        <v>45796</v>
      </c>
      <c r="B782" s="28" t="s">
        <v>1596</v>
      </c>
      <c r="C782" s="28">
        <v>18271863661</v>
      </c>
      <c r="D782" s="28" t="s">
        <v>115</v>
      </c>
      <c r="E782" s="23" t="s">
        <v>1597</v>
      </c>
      <c r="F782" s="23">
        <v>3</v>
      </c>
    </row>
    <row r="783" customHeight="1" spans="1:6">
      <c r="A783" s="22">
        <v>45796</v>
      </c>
      <c r="B783" s="28" t="s">
        <v>1536</v>
      </c>
      <c r="C783" s="28">
        <v>19891914614</v>
      </c>
      <c r="D783" s="28" t="s">
        <v>111</v>
      </c>
      <c r="E783" s="23" t="s">
        <v>1579</v>
      </c>
      <c r="F783" s="23">
        <v>1</v>
      </c>
    </row>
    <row r="784" customHeight="1" spans="1:6">
      <c r="A784" s="22">
        <v>45796</v>
      </c>
      <c r="B784" s="28" t="s">
        <v>1598</v>
      </c>
      <c r="C784" s="28">
        <v>1530544551</v>
      </c>
      <c r="D784" s="28" t="s">
        <v>131</v>
      </c>
      <c r="E784" s="23" t="s">
        <v>773</v>
      </c>
      <c r="F784" s="23">
        <v>1</v>
      </c>
    </row>
    <row r="785" customHeight="1" spans="1:6">
      <c r="A785" s="22">
        <v>45797</v>
      </c>
      <c r="B785" s="28" t="s">
        <v>1599</v>
      </c>
      <c r="C785" s="28">
        <v>18202746583</v>
      </c>
      <c r="D785" s="28" t="s">
        <v>96</v>
      </c>
      <c r="E785" s="23" t="s">
        <v>1600</v>
      </c>
      <c r="F785" s="23">
        <v>4</v>
      </c>
    </row>
    <row r="786" customHeight="1" spans="1:6">
      <c r="A786" s="22">
        <v>45797</v>
      </c>
      <c r="B786" s="28" t="s">
        <v>1601</v>
      </c>
      <c r="C786" s="28">
        <v>18827665270</v>
      </c>
      <c r="D786" s="28" t="s">
        <v>115</v>
      </c>
      <c r="E786" s="23" t="s">
        <v>980</v>
      </c>
      <c r="F786" s="23">
        <v>1</v>
      </c>
    </row>
    <row r="787" customHeight="1" spans="1:6">
      <c r="A787" s="22">
        <v>45797</v>
      </c>
      <c r="B787" s="30" t="s">
        <v>1602</v>
      </c>
      <c r="C787" s="30" t="s">
        <v>1603</v>
      </c>
      <c r="D787" s="28" t="s">
        <v>1604</v>
      </c>
      <c r="E787" s="23" t="s">
        <v>960</v>
      </c>
      <c r="F787" s="23">
        <v>1</v>
      </c>
    </row>
    <row r="788" customHeight="1" spans="1:6">
      <c r="A788" s="22">
        <v>45800</v>
      </c>
      <c r="B788" s="28" t="s">
        <v>1605</v>
      </c>
      <c r="C788" s="28">
        <v>1882765389</v>
      </c>
      <c r="D788" s="28" t="s">
        <v>91</v>
      </c>
      <c r="E788" s="23" t="s">
        <v>773</v>
      </c>
      <c r="F788" s="23">
        <v>1</v>
      </c>
    </row>
    <row r="789" customHeight="1" spans="1:6">
      <c r="A789" s="22">
        <v>45800</v>
      </c>
      <c r="B789" s="28" t="s">
        <v>1606</v>
      </c>
      <c r="C789" s="28">
        <v>18171528711</v>
      </c>
      <c r="D789" s="28" t="s">
        <v>121</v>
      </c>
      <c r="E789" s="23" t="s">
        <v>773</v>
      </c>
      <c r="F789" s="23">
        <v>1</v>
      </c>
    </row>
    <row r="790" customHeight="1" spans="1:6">
      <c r="A790" s="22">
        <v>45801</v>
      </c>
      <c r="B790" s="28" t="s">
        <v>1607</v>
      </c>
      <c r="C790" s="28">
        <v>15172521005</v>
      </c>
      <c r="D790" s="28" t="s">
        <v>131</v>
      </c>
      <c r="E790" s="23" t="s">
        <v>773</v>
      </c>
      <c r="F790" s="23">
        <v>1</v>
      </c>
    </row>
    <row r="791" customHeight="1" spans="1:6">
      <c r="A791" s="22">
        <v>45801</v>
      </c>
      <c r="B791" s="28" t="s">
        <v>1608</v>
      </c>
      <c r="C791" s="28">
        <v>13545097351</v>
      </c>
      <c r="D791" s="28" t="s">
        <v>1609</v>
      </c>
      <c r="E791" s="23" t="s">
        <v>936</v>
      </c>
      <c r="F791" s="23">
        <v>1</v>
      </c>
    </row>
    <row r="792" customHeight="1" spans="1:6">
      <c r="A792" s="22">
        <v>45801</v>
      </c>
      <c r="B792" s="28" t="s">
        <v>1610</v>
      </c>
      <c r="C792" s="28">
        <v>18572825283</v>
      </c>
      <c r="D792" s="28" t="s">
        <v>91</v>
      </c>
      <c r="E792" s="23" t="s">
        <v>936</v>
      </c>
      <c r="F792" s="23">
        <v>1</v>
      </c>
    </row>
    <row r="793" customHeight="1" spans="1:6">
      <c r="A793" s="22">
        <v>45801</v>
      </c>
      <c r="B793" s="28" t="s">
        <v>1611</v>
      </c>
      <c r="C793" s="28">
        <v>15377537055</v>
      </c>
      <c r="D793" s="28" t="s">
        <v>115</v>
      </c>
      <c r="E793" s="23" t="s">
        <v>936</v>
      </c>
      <c r="F793" s="23">
        <v>1</v>
      </c>
    </row>
    <row r="794" customHeight="1" spans="1:6">
      <c r="A794" s="22">
        <v>45801</v>
      </c>
      <c r="B794" s="28" t="s">
        <v>1612</v>
      </c>
      <c r="C794" s="28">
        <v>18607160819</v>
      </c>
      <c r="D794" s="28" t="s">
        <v>91</v>
      </c>
      <c r="E794" s="23" t="s">
        <v>936</v>
      </c>
      <c r="F794" s="23">
        <v>1</v>
      </c>
    </row>
    <row r="795" customHeight="1" spans="1:6">
      <c r="A795" s="22">
        <v>45801</v>
      </c>
      <c r="B795" s="28" t="s">
        <v>1613</v>
      </c>
      <c r="C795" s="28">
        <v>18627768749</v>
      </c>
      <c r="D795" s="28" t="s">
        <v>111</v>
      </c>
      <c r="E795" s="23" t="s">
        <v>980</v>
      </c>
      <c r="F795" s="23">
        <v>1</v>
      </c>
    </row>
    <row r="796" customHeight="1" spans="1:6">
      <c r="A796" s="22">
        <v>45801</v>
      </c>
      <c r="B796" s="28" t="s">
        <v>1614</v>
      </c>
      <c r="C796" s="28">
        <v>13476103132</v>
      </c>
      <c r="D796" s="28" t="s">
        <v>1609</v>
      </c>
      <c r="E796" s="23" t="s">
        <v>1579</v>
      </c>
      <c r="F796" s="23">
        <v>1</v>
      </c>
    </row>
    <row r="797" customHeight="1" spans="1:6">
      <c r="A797" s="22">
        <v>45801</v>
      </c>
      <c r="B797" s="28" t="s">
        <v>1615</v>
      </c>
      <c r="C797" s="28">
        <v>13476103132</v>
      </c>
      <c r="D797" s="28" t="s">
        <v>131</v>
      </c>
      <c r="E797" s="23" t="s">
        <v>936</v>
      </c>
      <c r="F797" s="23">
        <v>1</v>
      </c>
    </row>
    <row r="798" customHeight="1" spans="1:6">
      <c r="A798" s="22">
        <v>45801</v>
      </c>
      <c r="B798" s="28" t="s">
        <v>1616</v>
      </c>
      <c r="C798" s="28">
        <v>13938970404</v>
      </c>
      <c r="D798" s="28" t="s">
        <v>131</v>
      </c>
      <c r="E798" s="23" t="s">
        <v>1579</v>
      </c>
      <c r="F798" s="23">
        <v>1</v>
      </c>
    </row>
    <row r="799" customHeight="1" spans="1:6">
      <c r="A799" s="22">
        <v>45801</v>
      </c>
      <c r="B799" s="28" t="s">
        <v>1617</v>
      </c>
      <c r="C799" s="28">
        <v>13697333631</v>
      </c>
      <c r="D799" s="28" t="s">
        <v>115</v>
      </c>
      <c r="E799" s="23" t="s">
        <v>936</v>
      </c>
      <c r="F799" s="23">
        <v>1</v>
      </c>
    </row>
    <row r="800" customHeight="1" spans="1:6">
      <c r="A800" s="22">
        <v>45801</v>
      </c>
      <c r="B800" s="28" t="s">
        <v>1618</v>
      </c>
      <c r="C800" s="28">
        <v>16608839374</v>
      </c>
      <c r="D800" s="28" t="s">
        <v>131</v>
      </c>
      <c r="E800" s="23" t="s">
        <v>980</v>
      </c>
      <c r="F800" s="23">
        <v>1</v>
      </c>
    </row>
    <row r="801" customHeight="1" spans="1:6">
      <c r="A801" s="22">
        <v>45801</v>
      </c>
      <c r="B801" s="28" t="s">
        <v>1619</v>
      </c>
      <c r="C801" s="28">
        <v>13590596708</v>
      </c>
      <c r="D801" s="28" t="s">
        <v>131</v>
      </c>
      <c r="E801" s="23" t="s">
        <v>773</v>
      </c>
      <c r="F801" s="23">
        <v>1</v>
      </c>
    </row>
    <row r="802" customHeight="1" spans="1:6">
      <c r="A802" s="22">
        <v>45801</v>
      </c>
      <c r="B802" s="28" t="s">
        <v>1620</v>
      </c>
      <c r="C802" s="28">
        <v>13886321501</v>
      </c>
      <c r="D802" s="28" t="s">
        <v>131</v>
      </c>
      <c r="E802" s="23" t="s">
        <v>936</v>
      </c>
      <c r="F802" s="23">
        <v>1</v>
      </c>
    </row>
    <row r="803" customHeight="1" spans="1:6">
      <c r="A803" s="22">
        <v>45801</v>
      </c>
      <c r="B803" s="28" t="s">
        <v>1621</v>
      </c>
      <c r="C803" s="28">
        <v>15391554696</v>
      </c>
      <c r="D803" s="28" t="s">
        <v>1609</v>
      </c>
      <c r="E803" s="23" t="s">
        <v>980</v>
      </c>
      <c r="F803" s="23">
        <v>1</v>
      </c>
    </row>
    <row r="804" customHeight="1" spans="1:6">
      <c r="A804" s="22">
        <v>45802</v>
      </c>
      <c r="B804" s="28" t="s">
        <v>1622</v>
      </c>
      <c r="C804" s="28">
        <v>18627886415</v>
      </c>
      <c r="D804" s="28" t="s">
        <v>140</v>
      </c>
      <c r="E804" s="23" t="s">
        <v>725</v>
      </c>
      <c r="F804" s="23">
        <v>1</v>
      </c>
    </row>
    <row r="805" customHeight="1" spans="1:6">
      <c r="A805" s="22">
        <v>45802</v>
      </c>
      <c r="B805" s="28" t="s">
        <v>1623</v>
      </c>
      <c r="C805" s="28">
        <v>19164305687</v>
      </c>
      <c r="D805" s="28" t="s">
        <v>1609</v>
      </c>
      <c r="E805" s="23" t="s">
        <v>936</v>
      </c>
      <c r="F805" s="23">
        <v>1</v>
      </c>
    </row>
    <row r="806" customHeight="1" spans="1:6">
      <c r="A806" s="22">
        <v>45802</v>
      </c>
      <c r="B806" s="28" t="s">
        <v>1624</v>
      </c>
      <c r="C806" s="28">
        <v>13872317008</v>
      </c>
      <c r="D806" s="28" t="s">
        <v>131</v>
      </c>
      <c r="E806" s="23" t="s">
        <v>725</v>
      </c>
      <c r="F806" s="23">
        <v>1</v>
      </c>
    </row>
    <row r="807" customHeight="1" spans="1:6">
      <c r="A807" s="22">
        <v>45802</v>
      </c>
      <c r="B807" s="28" t="s">
        <v>1625</v>
      </c>
      <c r="C807" s="28">
        <v>17356537646</v>
      </c>
      <c r="D807" s="28" t="s">
        <v>136</v>
      </c>
      <c r="E807" s="23" t="s">
        <v>725</v>
      </c>
      <c r="F807" s="23">
        <v>1</v>
      </c>
    </row>
    <row r="808" customHeight="1" spans="1:6">
      <c r="A808" s="22">
        <v>45802</v>
      </c>
      <c r="B808" s="28" t="s">
        <v>1626</v>
      </c>
      <c r="C808" s="28">
        <v>18978202585</v>
      </c>
      <c r="D808" s="28" t="s">
        <v>111</v>
      </c>
      <c r="E808" s="23" t="s">
        <v>936</v>
      </c>
      <c r="F808" s="23">
        <v>1</v>
      </c>
    </row>
    <row r="809" customHeight="1" spans="1:6">
      <c r="A809" s="22">
        <v>45802</v>
      </c>
      <c r="B809" s="28" t="s">
        <v>1627</v>
      </c>
      <c r="C809" s="28">
        <v>15392899767</v>
      </c>
      <c r="D809" s="28" t="s">
        <v>91</v>
      </c>
      <c r="E809" s="23" t="s">
        <v>960</v>
      </c>
      <c r="F809" s="23">
        <v>1</v>
      </c>
    </row>
    <row r="810" customHeight="1" spans="1:6">
      <c r="A810" s="22">
        <v>45802</v>
      </c>
      <c r="B810" s="28" t="s">
        <v>1628</v>
      </c>
      <c r="C810" s="28">
        <v>17671418015</v>
      </c>
      <c r="D810" s="28" t="s">
        <v>115</v>
      </c>
      <c r="E810" s="23" t="s">
        <v>960</v>
      </c>
      <c r="F810" s="23">
        <v>1</v>
      </c>
    </row>
    <row r="811" customHeight="1" spans="1:6">
      <c r="A811" s="22">
        <v>45804</v>
      </c>
      <c r="B811" s="28" t="s">
        <v>1629</v>
      </c>
      <c r="C811" s="28">
        <v>17786490209</v>
      </c>
      <c r="D811" s="28" t="s">
        <v>83</v>
      </c>
      <c r="E811" s="23" t="s">
        <v>1330</v>
      </c>
      <c r="F811" s="23">
        <v>1</v>
      </c>
    </row>
    <row r="812" customHeight="1" spans="1:6">
      <c r="A812" s="22">
        <v>45805</v>
      </c>
      <c r="B812" s="28" t="s">
        <v>1630</v>
      </c>
      <c r="C812" s="28">
        <v>18986682152</v>
      </c>
      <c r="D812" s="28" t="s">
        <v>111</v>
      </c>
      <c r="E812" s="23" t="s">
        <v>960</v>
      </c>
      <c r="F812" s="23">
        <v>1</v>
      </c>
    </row>
    <row r="813" customHeight="1" spans="1:6">
      <c r="A813" s="22">
        <v>45805</v>
      </c>
      <c r="B813" s="28" t="s">
        <v>1631</v>
      </c>
      <c r="C813" s="28">
        <v>15527835087</v>
      </c>
      <c r="D813" s="28" t="s">
        <v>91</v>
      </c>
      <c r="E813" s="23" t="s">
        <v>1632</v>
      </c>
      <c r="F813" s="23">
        <v>1</v>
      </c>
    </row>
    <row r="814" customHeight="1" spans="1:6">
      <c r="A814" s="22">
        <v>45806</v>
      </c>
      <c r="B814" s="28" t="s">
        <v>899</v>
      </c>
      <c r="C814" s="28">
        <v>13027849025</v>
      </c>
      <c r="D814" s="28" t="s">
        <v>91</v>
      </c>
      <c r="E814" s="23" t="s">
        <v>1579</v>
      </c>
      <c r="F814" s="23">
        <v>1</v>
      </c>
    </row>
    <row r="815" customHeight="1" spans="1:6">
      <c r="A815" s="22">
        <v>45806</v>
      </c>
      <c r="B815" s="28" t="s">
        <v>557</v>
      </c>
      <c r="C815" s="28">
        <v>15926202077</v>
      </c>
      <c r="D815" s="28" t="s">
        <v>83</v>
      </c>
      <c r="E815" s="23" t="s">
        <v>1633</v>
      </c>
      <c r="F815" s="23">
        <v>1</v>
      </c>
    </row>
    <row r="816" customHeight="1" spans="1:6">
      <c r="A816" s="22">
        <v>45807</v>
      </c>
      <c r="B816" s="28" t="s">
        <v>1634</v>
      </c>
      <c r="C816" s="28">
        <v>18071107972</v>
      </c>
      <c r="D816" s="28" t="s">
        <v>1609</v>
      </c>
      <c r="E816" s="23" t="s">
        <v>960</v>
      </c>
      <c r="F816" s="23">
        <v>1</v>
      </c>
    </row>
    <row r="817" customHeight="1" spans="1:6">
      <c r="A817" s="22">
        <v>45807</v>
      </c>
      <c r="B817" s="28" t="s">
        <v>1635</v>
      </c>
      <c r="C817" s="28">
        <v>13195151470</v>
      </c>
      <c r="D817" s="23"/>
      <c r="E817" s="23" t="s">
        <v>960</v>
      </c>
      <c r="F817" s="23">
        <v>1</v>
      </c>
    </row>
    <row r="818" customHeight="1" spans="1:6">
      <c r="A818" s="22">
        <v>45807</v>
      </c>
      <c r="B818" s="28" t="s">
        <v>1636</v>
      </c>
      <c r="C818" s="28">
        <v>18672613568</v>
      </c>
      <c r="D818" s="23"/>
      <c r="E818" s="23" t="s">
        <v>1637</v>
      </c>
      <c r="F818" s="23">
        <v>2</v>
      </c>
    </row>
    <row r="819" customHeight="1" spans="1:6">
      <c r="A819" s="22">
        <v>45807</v>
      </c>
      <c r="B819" s="28" t="s">
        <v>1638</v>
      </c>
      <c r="C819" s="28">
        <v>13297078816</v>
      </c>
      <c r="D819" s="23"/>
      <c r="E819" s="23" t="s">
        <v>999</v>
      </c>
      <c r="F819" s="23">
        <v>1</v>
      </c>
    </row>
    <row r="820" customHeight="1" spans="1:6">
      <c r="A820" s="22">
        <v>45807</v>
      </c>
      <c r="B820" s="28" t="s">
        <v>1639</v>
      </c>
      <c r="C820" s="28">
        <v>13476062257</v>
      </c>
      <c r="D820" s="23"/>
      <c r="E820" s="23" t="s">
        <v>960</v>
      </c>
      <c r="F820" s="23">
        <v>1</v>
      </c>
    </row>
    <row r="821" customHeight="1" spans="1:6">
      <c r="A821" s="22">
        <v>45807</v>
      </c>
      <c r="B821" s="28" t="s">
        <v>1640</v>
      </c>
      <c r="C821" s="28">
        <v>18568013991</v>
      </c>
      <c r="D821" s="23"/>
      <c r="E821" s="23" t="s">
        <v>1579</v>
      </c>
      <c r="F821" s="23">
        <v>1</v>
      </c>
    </row>
    <row r="822" customHeight="1" spans="1:6">
      <c r="A822" s="22">
        <v>45807</v>
      </c>
      <c r="B822" s="28" t="s">
        <v>1641</v>
      </c>
      <c r="C822" s="28">
        <v>17771465039</v>
      </c>
      <c r="D822" s="23"/>
      <c r="E822" s="23" t="s">
        <v>999</v>
      </c>
      <c r="F822" s="23">
        <v>1</v>
      </c>
    </row>
    <row r="823" customHeight="1" spans="1:6">
      <c r="A823" s="22">
        <v>45807</v>
      </c>
      <c r="B823" s="28" t="s">
        <v>1642</v>
      </c>
      <c r="C823" s="28">
        <v>15827363916</v>
      </c>
      <c r="D823" s="23"/>
      <c r="E823" s="23" t="s">
        <v>753</v>
      </c>
      <c r="F823" s="23">
        <v>1</v>
      </c>
    </row>
    <row r="824" customHeight="1" spans="1:6">
      <c r="A824" s="22">
        <v>45807</v>
      </c>
      <c r="B824" s="28" t="s">
        <v>1643</v>
      </c>
      <c r="C824" s="28">
        <v>1577180466</v>
      </c>
      <c r="D824" s="23"/>
      <c r="E824" s="23" t="s">
        <v>980</v>
      </c>
      <c r="F824" s="23">
        <v>1</v>
      </c>
    </row>
    <row r="825" customHeight="1" spans="1:6">
      <c r="A825" s="22">
        <v>45807</v>
      </c>
      <c r="B825" s="28" t="s">
        <v>1644</v>
      </c>
      <c r="C825" s="28">
        <v>18271895190</v>
      </c>
      <c r="D825" s="23"/>
      <c r="E825" s="23" t="s">
        <v>1645</v>
      </c>
      <c r="F825" s="23">
        <v>1</v>
      </c>
    </row>
    <row r="826" customHeight="1" spans="1:6">
      <c r="A826" s="22">
        <v>45807</v>
      </c>
      <c r="B826" s="28" t="s">
        <v>1646</v>
      </c>
      <c r="C826" s="28">
        <v>18672976015</v>
      </c>
      <c r="D826" s="23"/>
      <c r="E826" s="23" t="s">
        <v>1409</v>
      </c>
      <c r="F826" s="23">
        <v>1</v>
      </c>
    </row>
    <row r="827" customHeight="1" spans="1:6">
      <c r="A827" s="22">
        <v>45807</v>
      </c>
      <c r="B827" s="28" t="s">
        <v>1647</v>
      </c>
      <c r="C827" s="28">
        <v>15827622565</v>
      </c>
      <c r="D827" s="23"/>
      <c r="E827" s="23" t="s">
        <v>980</v>
      </c>
      <c r="F827" s="23">
        <v>1</v>
      </c>
    </row>
    <row r="828" customHeight="1" spans="1:6">
      <c r="A828" s="22">
        <v>45807</v>
      </c>
      <c r="B828" s="28" t="s">
        <v>1648</v>
      </c>
      <c r="C828" s="28">
        <v>18107261386</v>
      </c>
      <c r="D828" s="23"/>
      <c r="E828" s="23" t="s">
        <v>1645</v>
      </c>
      <c r="F828" s="23">
        <v>1</v>
      </c>
    </row>
    <row r="829" customHeight="1" spans="1:6">
      <c r="A829" s="22">
        <v>45807</v>
      </c>
      <c r="B829" s="28" t="s">
        <v>1649</v>
      </c>
      <c r="C829" s="28">
        <v>18627092950</v>
      </c>
      <c r="D829" s="23"/>
      <c r="E829" s="23" t="s">
        <v>980</v>
      </c>
      <c r="F829" s="23">
        <v>1</v>
      </c>
    </row>
    <row r="830" customHeight="1" spans="1:6">
      <c r="A830" s="22">
        <v>45807</v>
      </c>
      <c r="B830" s="28" t="s">
        <v>1650</v>
      </c>
      <c r="C830" s="28">
        <v>15102735919</v>
      </c>
      <c r="D830" s="23"/>
      <c r="E830" s="23" t="s">
        <v>1148</v>
      </c>
      <c r="F830" s="23">
        <v>1</v>
      </c>
    </row>
    <row r="831" customHeight="1" spans="1:6">
      <c r="A831" s="22">
        <v>45811</v>
      </c>
      <c r="B831" s="26" t="s">
        <v>1651</v>
      </c>
      <c r="C831" s="26">
        <v>17382174365</v>
      </c>
      <c r="D831" s="23"/>
      <c r="E831" s="23" t="s">
        <v>773</v>
      </c>
      <c r="F831" s="23">
        <v>1</v>
      </c>
    </row>
    <row r="832" customHeight="1" spans="1:6">
      <c r="A832" s="22">
        <v>45811</v>
      </c>
      <c r="B832" s="26" t="s">
        <v>1652</v>
      </c>
      <c r="C832" s="26">
        <v>15623907202</v>
      </c>
      <c r="D832" s="23"/>
      <c r="E832" s="23" t="s">
        <v>960</v>
      </c>
      <c r="F832" s="23">
        <v>1</v>
      </c>
    </row>
    <row r="833" customHeight="1" spans="1:8">
      <c r="A833" s="22">
        <v>45819</v>
      </c>
      <c r="B833" s="23" t="s">
        <v>1653</v>
      </c>
      <c r="C833" s="23"/>
      <c r="D833" s="23"/>
      <c r="E833" s="23" t="s">
        <v>1654</v>
      </c>
      <c r="F833" s="23">
        <v>10</v>
      </c>
    </row>
    <row r="834" customHeight="1" spans="1:8">
      <c r="A834" s="22">
        <v>45821</v>
      </c>
      <c r="B834" s="29" t="s">
        <v>1655</v>
      </c>
      <c r="C834" s="29">
        <v>18702771847</v>
      </c>
      <c r="D834" s="23"/>
      <c r="E834" s="23" t="s">
        <v>800</v>
      </c>
      <c r="F834" s="23">
        <v>1</v>
      </c>
    </row>
    <row r="835" customHeight="1" spans="1:8">
      <c r="A835" s="22">
        <v>45821</v>
      </c>
      <c r="B835" s="26" t="s">
        <v>1656</v>
      </c>
      <c r="C835" s="26">
        <v>15007193295</v>
      </c>
      <c r="D835" s="23"/>
      <c r="E835" s="23" t="s">
        <v>800</v>
      </c>
      <c r="F835" s="23">
        <v>1</v>
      </c>
    </row>
    <row r="836" customHeight="1" spans="1:8">
      <c r="A836" s="22">
        <v>45821</v>
      </c>
      <c r="B836" s="23" t="s">
        <v>1657</v>
      </c>
      <c r="C836" s="23">
        <v>13885202484</v>
      </c>
      <c r="D836" s="23"/>
      <c r="E836" s="23" t="s">
        <v>968</v>
      </c>
      <c r="F836" s="23">
        <v>1</v>
      </c>
    </row>
    <row r="837" customHeight="1" spans="1:8">
      <c r="A837" s="22">
        <v>45822</v>
      </c>
      <c r="B837" s="26" t="s">
        <v>1658</v>
      </c>
      <c r="C837" s="26">
        <v>15072338308</v>
      </c>
      <c r="D837" s="23"/>
      <c r="E837" s="23" t="s">
        <v>1659</v>
      </c>
      <c r="F837" s="23">
        <v>1</v>
      </c>
    </row>
    <row r="838" customHeight="1" spans="1:8">
      <c r="A838" s="22">
        <v>45822</v>
      </c>
      <c r="B838" s="26" t="s">
        <v>1660</v>
      </c>
      <c r="C838" s="26">
        <v>15102772497</v>
      </c>
      <c r="D838" s="23"/>
      <c r="E838" s="23" t="s">
        <v>960</v>
      </c>
      <c r="F838" s="23">
        <v>1</v>
      </c>
    </row>
    <row r="839" customHeight="1" spans="1:8">
      <c r="A839" s="22">
        <v>45822</v>
      </c>
      <c r="B839" s="26" t="s">
        <v>1661</v>
      </c>
      <c r="C839" s="26">
        <v>17320510926</v>
      </c>
      <c r="D839" s="23"/>
      <c r="E839" s="23" t="s">
        <v>960</v>
      </c>
      <c r="F839" s="23">
        <v>1</v>
      </c>
    </row>
    <row r="840" customHeight="1" spans="1:8">
      <c r="A840" s="22">
        <v>45822</v>
      </c>
      <c r="B840" s="26" t="s">
        <v>1662</v>
      </c>
      <c r="C840" s="26">
        <v>13477091230</v>
      </c>
      <c r="D840" s="23"/>
      <c r="E840" s="23" t="s">
        <v>1659</v>
      </c>
      <c r="F840" s="23">
        <v>1</v>
      </c>
    </row>
    <row r="841" customHeight="1" spans="1:8">
      <c r="A841" s="22">
        <v>45822</v>
      </c>
      <c r="B841" s="26" t="s">
        <v>1663</v>
      </c>
      <c r="C841" s="26">
        <v>13058022638</v>
      </c>
      <c r="D841" s="23"/>
      <c r="E841" s="23" t="s">
        <v>1664</v>
      </c>
      <c r="F841" s="23">
        <v>2</v>
      </c>
    </row>
    <row r="842" customHeight="1" spans="1:8">
      <c r="A842" s="22">
        <v>45822</v>
      </c>
      <c r="B842" s="26" t="s">
        <v>1665</v>
      </c>
      <c r="C842" s="26">
        <v>15307127813</v>
      </c>
      <c r="D842" s="23"/>
      <c r="E842" s="23" t="s">
        <v>960</v>
      </c>
      <c r="F842" s="23">
        <v>1</v>
      </c>
    </row>
    <row r="843" customHeight="1" spans="1:8">
      <c r="A843" s="22">
        <v>45822</v>
      </c>
      <c r="B843" s="26" t="s">
        <v>1666</v>
      </c>
      <c r="C843" s="26">
        <v>13008885143</v>
      </c>
      <c r="D843" s="23"/>
      <c r="E843" s="23" t="s">
        <v>980</v>
      </c>
      <c r="F843" s="23">
        <v>1</v>
      </c>
    </row>
    <row r="844" customHeight="1" spans="1:8">
      <c r="A844" s="22">
        <v>45822</v>
      </c>
      <c r="B844" s="26" t="s">
        <v>1667</v>
      </c>
      <c r="C844" s="26">
        <v>15071274368</v>
      </c>
      <c r="D844" s="23"/>
      <c r="E844" s="23" t="s">
        <v>1668</v>
      </c>
      <c r="F844" s="23">
        <v>1</v>
      </c>
    </row>
    <row r="845" customHeight="1" spans="1:8">
      <c r="A845" s="22">
        <v>45822</v>
      </c>
      <c r="B845" s="26" t="s">
        <v>1669</v>
      </c>
      <c r="C845" s="26">
        <v>15927525244</v>
      </c>
      <c r="D845" s="23"/>
      <c r="E845" s="23" t="s">
        <v>1659</v>
      </c>
      <c r="F845" s="23">
        <v>1</v>
      </c>
    </row>
    <row r="846" customHeight="1" spans="1:8">
      <c r="A846" s="22">
        <v>45822</v>
      </c>
      <c r="B846" s="26" t="s">
        <v>1670</v>
      </c>
      <c r="C846" s="26">
        <v>18872023682</v>
      </c>
      <c r="D846" s="23"/>
      <c r="E846" s="23" t="s">
        <v>1142</v>
      </c>
      <c r="F846" s="23">
        <v>1</v>
      </c>
      <c r="H846" s="9"/>
    </row>
    <row r="847" customHeight="1" spans="1:8">
      <c r="A847" s="22">
        <v>45822</v>
      </c>
      <c r="B847" s="26" t="s">
        <v>1671</v>
      </c>
      <c r="C847" s="26">
        <v>18171369508</v>
      </c>
      <c r="D847" s="23"/>
      <c r="E847" s="23" t="s">
        <v>1672</v>
      </c>
      <c r="F847" s="23">
        <v>2</v>
      </c>
    </row>
    <row r="848" customHeight="1" spans="1:8">
      <c r="A848" s="22">
        <v>45822</v>
      </c>
      <c r="B848" s="26" t="s">
        <v>1673</v>
      </c>
      <c r="C848" s="26">
        <v>13429801001</v>
      </c>
      <c r="D848" s="23"/>
      <c r="E848" s="23" t="s">
        <v>1142</v>
      </c>
      <c r="F848" s="23">
        <v>1</v>
      </c>
    </row>
    <row r="849" customHeight="1" spans="1:6">
      <c r="A849" s="22">
        <v>45822</v>
      </c>
      <c r="B849" s="26" t="s">
        <v>1674</v>
      </c>
      <c r="C849" s="26">
        <v>13349951396</v>
      </c>
      <c r="D849" s="23"/>
      <c r="E849" s="23" t="s">
        <v>980</v>
      </c>
      <c r="F849" s="23">
        <v>1</v>
      </c>
    </row>
    <row r="850" customHeight="1" spans="1:6">
      <c r="A850" s="22">
        <v>45822</v>
      </c>
      <c r="B850" s="26" t="s">
        <v>1675</v>
      </c>
      <c r="C850" s="26">
        <v>18993979666</v>
      </c>
      <c r="D850" s="23"/>
      <c r="E850" s="23" t="s">
        <v>960</v>
      </c>
      <c r="F850" s="23">
        <v>1</v>
      </c>
    </row>
    <row r="851" customHeight="1" spans="1:6">
      <c r="A851" s="22">
        <v>45823</v>
      </c>
      <c r="B851" s="26" t="s">
        <v>1676</v>
      </c>
      <c r="C851" s="26">
        <v>13476191519</v>
      </c>
      <c r="D851" s="23"/>
      <c r="E851" s="23" t="s">
        <v>800</v>
      </c>
      <c r="F851" s="23"/>
    </row>
    <row r="852" customHeight="1" spans="1:6">
      <c r="A852" s="22">
        <v>45823</v>
      </c>
      <c r="B852" s="26" t="s">
        <v>1677</v>
      </c>
      <c r="C852" s="26">
        <v>17320504092</v>
      </c>
      <c r="D852" s="23"/>
      <c r="E852" s="23" t="s">
        <v>1142</v>
      </c>
      <c r="F852" s="23">
        <v>1</v>
      </c>
    </row>
    <row r="853" customHeight="1" spans="1:6">
      <c r="A853" s="22">
        <v>45834</v>
      </c>
      <c r="B853" s="23" t="s">
        <v>1678</v>
      </c>
      <c r="C853" s="23">
        <v>15607141538</v>
      </c>
      <c r="D853" s="23"/>
      <c r="E853" s="23" t="s">
        <v>1135</v>
      </c>
      <c r="F853" s="23">
        <v>1</v>
      </c>
    </row>
    <row r="854" customHeight="1" spans="1:6">
      <c r="A854" s="22">
        <v>45834</v>
      </c>
      <c r="B854" s="23" t="s">
        <v>1679</v>
      </c>
      <c r="C854" s="23">
        <v>15623440390</v>
      </c>
      <c r="D854" s="23"/>
      <c r="E854" s="23" t="s">
        <v>1680</v>
      </c>
      <c r="F854" s="23">
        <v>1</v>
      </c>
    </row>
    <row r="855" customHeight="1" spans="1:6">
      <c r="A855" s="31">
        <v>45834</v>
      </c>
      <c r="B855" s="32" t="s">
        <v>1679</v>
      </c>
      <c r="C855" s="32">
        <v>15623440390</v>
      </c>
      <c r="D855" s="32"/>
      <c r="E855" s="32" t="s">
        <v>1681</v>
      </c>
      <c r="F855" s="33">
        <v>1</v>
      </c>
    </row>
    <row r="856" customHeight="1" spans="1:6">
      <c r="A856" s="22">
        <v>45834</v>
      </c>
      <c r="B856" s="23" t="s">
        <v>1682</v>
      </c>
      <c r="C856" s="23">
        <v>15377626643</v>
      </c>
      <c r="D856" s="23"/>
      <c r="E856" s="23" t="s">
        <v>800</v>
      </c>
      <c r="F856" s="23">
        <v>1</v>
      </c>
    </row>
    <row r="857" customHeight="1" spans="1:6">
      <c r="A857" s="22">
        <v>45836</v>
      </c>
      <c r="B857" s="23" t="s">
        <v>1683</v>
      </c>
      <c r="C857" s="23">
        <v>18509983068</v>
      </c>
      <c r="E857" s="23" t="s">
        <v>1684</v>
      </c>
      <c r="F857" s="23">
        <v>2</v>
      </c>
    </row>
    <row r="858" customHeight="1" spans="1:6">
      <c r="A858" s="22">
        <v>45836</v>
      </c>
      <c r="B858" s="34" t="s">
        <v>1685</v>
      </c>
      <c r="C858" s="35">
        <v>17771488110</v>
      </c>
      <c r="E858" s="34" t="s">
        <v>1686</v>
      </c>
      <c r="F858" s="34">
        <v>2</v>
      </c>
    </row>
    <row r="859" customHeight="1" spans="1:6">
      <c r="A859" s="22">
        <v>45836</v>
      </c>
      <c r="B859" s="23" t="s">
        <v>1687</v>
      </c>
      <c r="C859" s="23">
        <v>18674093865</v>
      </c>
      <c r="D859" s="23"/>
      <c r="E859" s="23" t="s">
        <v>936</v>
      </c>
      <c r="F859" s="23">
        <v>1</v>
      </c>
    </row>
    <row r="860" customHeight="1" spans="1:6">
      <c r="A860" s="22">
        <v>45836</v>
      </c>
      <c r="B860" s="26" t="s">
        <v>1688</v>
      </c>
      <c r="C860" s="26">
        <v>18872255722</v>
      </c>
      <c r="E860" s="20" t="s">
        <v>960</v>
      </c>
      <c r="F860" s="23">
        <v>1</v>
      </c>
    </row>
    <row r="861" customHeight="1" spans="1:6">
      <c r="A861" s="22">
        <v>45836</v>
      </c>
      <c r="B861" s="26" t="s">
        <v>1689</v>
      </c>
      <c r="C861" s="26">
        <v>18162790037</v>
      </c>
      <c r="E861" s="20" t="s">
        <v>980</v>
      </c>
      <c r="F861" s="23">
        <v>1</v>
      </c>
    </row>
    <row r="862" customHeight="1" spans="1:6">
      <c r="A862" s="22">
        <v>45836</v>
      </c>
      <c r="B862" s="26" t="s">
        <v>1690</v>
      </c>
      <c r="C862" s="26">
        <v>1597214025</v>
      </c>
      <c r="E862" s="20" t="s">
        <v>1553</v>
      </c>
      <c r="F862" s="23">
        <v>1</v>
      </c>
    </row>
    <row r="863" customHeight="1" spans="1:6">
      <c r="A863" s="22">
        <v>45836</v>
      </c>
      <c r="B863" s="26" t="s">
        <v>1691</v>
      </c>
      <c r="C863" s="26">
        <v>18986135496</v>
      </c>
      <c r="E863" s="20" t="s">
        <v>980</v>
      </c>
      <c r="F863" s="23">
        <v>1</v>
      </c>
    </row>
    <row r="864" customHeight="1" spans="1:6">
      <c r="A864" s="22">
        <v>45836</v>
      </c>
      <c r="B864" s="26" t="s">
        <v>1692</v>
      </c>
      <c r="C864" s="26">
        <v>18327212291</v>
      </c>
      <c r="E864" s="20" t="s">
        <v>960</v>
      </c>
      <c r="F864" s="23">
        <v>1</v>
      </c>
    </row>
    <row r="865" customHeight="1" spans="1:6">
      <c r="A865" s="22">
        <v>45836</v>
      </c>
      <c r="B865" s="29" t="s">
        <v>1693</v>
      </c>
      <c r="C865" s="26">
        <v>18071171649</v>
      </c>
      <c r="E865" s="20" t="s">
        <v>960</v>
      </c>
      <c r="F865" s="23">
        <v>1</v>
      </c>
    </row>
    <row r="866" customHeight="1" spans="1:6">
      <c r="A866" s="22">
        <v>45836</v>
      </c>
      <c r="B866" s="26" t="s">
        <v>1694</v>
      </c>
      <c r="C866" s="26">
        <v>18627812032</v>
      </c>
      <c r="E866" s="20" t="s">
        <v>960</v>
      </c>
      <c r="F866" s="23">
        <v>1</v>
      </c>
    </row>
    <row r="867" customHeight="1" spans="1:6">
      <c r="A867" s="22">
        <v>45836</v>
      </c>
      <c r="B867" s="26" t="s">
        <v>1695</v>
      </c>
      <c r="C867" s="26">
        <v>15071486389</v>
      </c>
      <c r="E867" s="20" t="s">
        <v>960</v>
      </c>
      <c r="F867" s="23">
        <v>1</v>
      </c>
    </row>
    <row r="868" customHeight="1" spans="1:6">
      <c r="A868" s="22">
        <v>45836</v>
      </c>
      <c r="B868" s="26" t="s">
        <v>1696</v>
      </c>
      <c r="C868" s="26">
        <v>15171433345</v>
      </c>
      <c r="E868" s="20" t="s">
        <v>960</v>
      </c>
      <c r="F868" s="23">
        <v>1</v>
      </c>
    </row>
    <row r="869" customHeight="1" spans="1:6">
      <c r="A869" s="22">
        <v>45836</v>
      </c>
      <c r="B869" s="26" t="s">
        <v>1697</v>
      </c>
      <c r="C869" s="26">
        <v>18086687825</v>
      </c>
      <c r="E869" s="20" t="s">
        <v>800</v>
      </c>
      <c r="F869" s="23">
        <v>1</v>
      </c>
    </row>
    <row r="870" customHeight="1" spans="1:6">
      <c r="A870" s="22">
        <v>45836</v>
      </c>
      <c r="B870" s="26" t="s">
        <v>1698</v>
      </c>
      <c r="C870" s="26">
        <v>18120556762</v>
      </c>
      <c r="E870" s="20" t="s">
        <v>800</v>
      </c>
      <c r="F870" s="23">
        <v>1</v>
      </c>
    </row>
    <row r="871" customHeight="1" spans="1:6">
      <c r="A871" s="22">
        <v>45837</v>
      </c>
      <c r="B871" s="26" t="s">
        <v>1699</v>
      </c>
      <c r="C871" s="26">
        <v>18725714305</v>
      </c>
      <c r="E871" s="20" t="s">
        <v>936</v>
      </c>
      <c r="F871" s="34">
        <v>1</v>
      </c>
    </row>
    <row r="872" customHeight="1" spans="1:6">
      <c r="A872" s="36">
        <v>45837</v>
      </c>
      <c r="B872" s="34" t="s">
        <v>1700</v>
      </c>
      <c r="C872" s="34">
        <v>18971226318</v>
      </c>
      <c r="E872" s="34" t="s">
        <v>800</v>
      </c>
      <c r="F872" s="34">
        <v>1</v>
      </c>
    </row>
    <row r="873" customHeight="1" spans="1:6">
      <c r="A873" s="22">
        <v>45837</v>
      </c>
      <c r="B873" s="26" t="s">
        <v>1701</v>
      </c>
      <c r="C873" s="26">
        <v>15337173673</v>
      </c>
      <c r="D873" s="23"/>
      <c r="E873" s="23" t="s">
        <v>1702</v>
      </c>
      <c r="F873" s="23">
        <v>2</v>
      </c>
    </row>
    <row r="874" customHeight="1" spans="1:6">
      <c r="A874" s="22">
        <v>45837</v>
      </c>
      <c r="B874" s="26" t="s">
        <v>1703</v>
      </c>
      <c r="C874" s="26">
        <v>15327290226</v>
      </c>
      <c r="D874" s="23"/>
      <c r="E874" s="23" t="s">
        <v>1704</v>
      </c>
      <c r="F874" s="23">
        <v>2</v>
      </c>
    </row>
    <row r="875" customHeight="1" spans="1:6">
      <c r="A875" s="22">
        <v>45837</v>
      </c>
      <c r="B875" s="26" t="s">
        <v>1705</v>
      </c>
      <c r="C875" s="26">
        <v>15527157192</v>
      </c>
      <c r="D875" s="23"/>
      <c r="E875" s="23" t="s">
        <v>1706</v>
      </c>
      <c r="F875" s="23">
        <v>2</v>
      </c>
    </row>
    <row r="876" customHeight="1" spans="1:6">
      <c r="A876" s="22">
        <v>45838</v>
      </c>
      <c r="B876" s="26" t="s">
        <v>1707</v>
      </c>
      <c r="C876" s="26">
        <v>18627982521</v>
      </c>
      <c r="D876" s="23"/>
      <c r="E876" s="23" t="s">
        <v>800</v>
      </c>
      <c r="F876" s="23">
        <v>1</v>
      </c>
    </row>
    <row r="877" customHeight="1" spans="1:6">
      <c r="A877" s="22">
        <v>45838</v>
      </c>
      <c r="B877" s="26" t="s">
        <v>1708</v>
      </c>
      <c r="C877" s="26">
        <v>13451052902</v>
      </c>
      <c r="D877" s="23"/>
      <c r="E877" s="23" t="s">
        <v>800</v>
      </c>
      <c r="F877" s="23">
        <v>1</v>
      </c>
    </row>
    <row r="878" customHeight="1" spans="1:6">
      <c r="A878" s="22">
        <v>45838</v>
      </c>
      <c r="B878" s="26" t="s">
        <v>1709</v>
      </c>
      <c r="C878" s="26">
        <v>13986067956</v>
      </c>
      <c r="D878" s="23"/>
      <c r="E878" s="23" t="s">
        <v>1142</v>
      </c>
      <c r="F878" s="23">
        <v>1</v>
      </c>
    </row>
    <row r="879" customHeight="1" spans="1:6">
      <c r="A879" s="22">
        <v>45838</v>
      </c>
      <c r="B879" s="26" t="s">
        <v>1710</v>
      </c>
      <c r="C879" s="26">
        <v>19916090054</v>
      </c>
      <c r="D879" s="23"/>
      <c r="E879" s="23" t="s">
        <v>1142</v>
      </c>
      <c r="F879" s="23">
        <v>1</v>
      </c>
    </row>
    <row r="880" customHeight="1" spans="1:6">
      <c r="A880" s="22">
        <v>45841</v>
      </c>
      <c r="B880" s="26" t="s">
        <v>1711</v>
      </c>
      <c r="C880" s="26">
        <v>18772287837</v>
      </c>
      <c r="D880" s="23"/>
      <c r="E880" s="23" t="s">
        <v>1632</v>
      </c>
      <c r="F880" s="23">
        <v>1</v>
      </c>
    </row>
    <row r="881" customHeight="1" spans="1:6">
      <c r="A881" s="22">
        <v>45841</v>
      </c>
      <c r="B881" s="26" t="s">
        <v>1712</v>
      </c>
      <c r="C881" s="26">
        <v>15623536583</v>
      </c>
      <c r="D881" s="23"/>
      <c r="E881" s="23" t="s">
        <v>1632</v>
      </c>
      <c r="F881" s="23">
        <v>1</v>
      </c>
    </row>
    <row r="882" customHeight="1" spans="1:6">
      <c r="A882" s="22">
        <v>45841</v>
      </c>
      <c r="B882" s="26" t="s">
        <v>1713</v>
      </c>
      <c r="C882" s="26">
        <v>18097118906</v>
      </c>
      <c r="D882" s="23"/>
      <c r="E882" s="23" t="s">
        <v>1632</v>
      </c>
      <c r="F882" s="23">
        <v>1</v>
      </c>
    </row>
    <row r="883" customHeight="1" spans="1:6">
      <c r="A883" s="22">
        <v>45843</v>
      </c>
      <c r="B883" s="26" t="s">
        <v>1714</v>
      </c>
      <c r="C883" s="26">
        <v>15387055588</v>
      </c>
      <c r="D883" s="23"/>
      <c r="E883" s="23" t="s">
        <v>1715</v>
      </c>
      <c r="F883" s="23">
        <v>2</v>
      </c>
    </row>
    <row r="884" customHeight="1" spans="1:6">
      <c r="A884" s="22">
        <v>45844</v>
      </c>
      <c r="B884" s="26" t="s">
        <v>1716</v>
      </c>
      <c r="C884" s="26">
        <v>15027368052</v>
      </c>
      <c r="D884" s="23"/>
      <c r="E884" s="23" t="s">
        <v>1717</v>
      </c>
      <c r="F884" s="23">
        <v>6</v>
      </c>
    </row>
    <row r="885" customHeight="1" spans="1:6">
      <c r="A885" s="22">
        <v>45844</v>
      </c>
      <c r="B885" s="26" t="s">
        <v>1718</v>
      </c>
      <c r="C885" s="26">
        <v>13142022410</v>
      </c>
      <c r="D885" s="23"/>
      <c r="E885" s="23" t="s">
        <v>843</v>
      </c>
      <c r="F885" s="23">
        <v>1</v>
      </c>
    </row>
    <row r="886" customHeight="1" spans="1:6">
      <c r="A886" s="22">
        <v>45848</v>
      </c>
      <c r="B886" s="23" t="s">
        <v>1719</v>
      </c>
      <c r="C886" s="23">
        <v>15623162857</v>
      </c>
      <c r="D886" s="23"/>
      <c r="E886" s="23" t="s">
        <v>1135</v>
      </c>
      <c r="F886" s="23">
        <v>2</v>
      </c>
    </row>
    <row r="887" customHeight="1" spans="1:6">
      <c r="A887" s="22">
        <v>45848</v>
      </c>
      <c r="B887" s="23" t="s">
        <v>1720</v>
      </c>
      <c r="C887" s="23">
        <v>18193880122</v>
      </c>
      <c r="D887" s="23"/>
      <c r="E887" s="23" t="s">
        <v>773</v>
      </c>
      <c r="F887" s="23">
        <v>1</v>
      </c>
    </row>
    <row r="888" customHeight="1" spans="1:6">
      <c r="A888" s="22">
        <v>45849</v>
      </c>
      <c r="B888" s="23" t="s">
        <v>1721</v>
      </c>
      <c r="C888" s="23">
        <v>18162572306</v>
      </c>
      <c r="D888" s="23"/>
      <c r="E888" s="23" t="s">
        <v>800</v>
      </c>
      <c r="F888" s="23">
        <v>1</v>
      </c>
    </row>
    <row r="889" customHeight="1" spans="1:6">
      <c r="A889" s="22">
        <v>45850</v>
      </c>
      <c r="B889" s="23" t="s">
        <v>1722</v>
      </c>
      <c r="C889" s="23">
        <v>18163308552</v>
      </c>
      <c r="D889" s="23"/>
      <c r="E889" s="23" t="s">
        <v>980</v>
      </c>
      <c r="F889" s="23">
        <v>1</v>
      </c>
    </row>
    <row r="890" customHeight="1" spans="1:6">
      <c r="A890" s="22">
        <v>45850</v>
      </c>
      <c r="B890" s="23" t="s">
        <v>1723</v>
      </c>
      <c r="C890" s="23">
        <v>17771413404</v>
      </c>
      <c r="D890" s="23"/>
      <c r="E890" s="23" t="s">
        <v>960</v>
      </c>
      <c r="F890" s="23">
        <v>1</v>
      </c>
    </row>
    <row r="891" customHeight="1" spans="1:6">
      <c r="A891" s="22">
        <v>45852</v>
      </c>
      <c r="B891" s="23" t="s">
        <v>1724</v>
      </c>
      <c r="C891" s="144" t="s">
        <v>1725</v>
      </c>
      <c r="D891" s="23"/>
      <c r="E891" s="23" t="s">
        <v>940</v>
      </c>
      <c r="F891" s="23">
        <v>1</v>
      </c>
    </row>
    <row r="892" customHeight="1" spans="1:6">
      <c r="A892" s="22">
        <v>45853</v>
      </c>
      <c r="B892" s="26" t="s">
        <v>1726</v>
      </c>
      <c r="C892" s="26">
        <v>13429849853</v>
      </c>
      <c r="D892" s="23"/>
      <c r="E892" s="23" t="s">
        <v>940</v>
      </c>
      <c r="F892" s="23">
        <v>1</v>
      </c>
    </row>
    <row r="893" customHeight="1" spans="1:6">
      <c r="A893" s="22">
        <v>45853</v>
      </c>
      <c r="B893" s="26" t="s">
        <v>1727</v>
      </c>
      <c r="C893" s="26">
        <v>18871006053</v>
      </c>
      <c r="D893" s="23"/>
      <c r="E893" s="23" t="s">
        <v>1135</v>
      </c>
      <c r="F893" s="23">
        <v>2</v>
      </c>
    </row>
    <row r="894" customHeight="1" spans="1:6">
      <c r="A894" s="22">
        <v>45853</v>
      </c>
      <c r="B894" s="26" t="s">
        <v>1728</v>
      </c>
      <c r="C894" s="26">
        <v>17786557595</v>
      </c>
      <c r="D894" s="23"/>
      <c r="E894" s="23" t="s">
        <v>1135</v>
      </c>
      <c r="F894" s="23">
        <v>2</v>
      </c>
    </row>
    <row r="895" customHeight="1" spans="1:6">
      <c r="A895" s="22">
        <v>45853</v>
      </c>
      <c r="B895" s="26" t="s">
        <v>1729</v>
      </c>
      <c r="C895" s="26">
        <v>19171281520</v>
      </c>
      <c r="D895" s="23"/>
      <c r="E895" s="23" t="s">
        <v>1135</v>
      </c>
      <c r="F895" s="23">
        <v>2</v>
      </c>
    </row>
    <row r="896" customHeight="1" spans="1:6">
      <c r="A896" s="22">
        <v>45854</v>
      </c>
      <c r="B896" s="23" t="s">
        <v>1653</v>
      </c>
      <c r="C896" s="23" t="s">
        <v>1730</v>
      </c>
      <c r="D896" s="23"/>
      <c r="E896" s="23" t="s">
        <v>1731</v>
      </c>
      <c r="F896" s="23">
        <v>4</v>
      </c>
    </row>
    <row r="897" customHeight="1" spans="1:6">
      <c r="A897" s="22">
        <v>45854</v>
      </c>
      <c r="B897" s="23" t="s">
        <v>1732</v>
      </c>
      <c r="C897" s="23">
        <v>15717266556</v>
      </c>
      <c r="D897" s="23"/>
      <c r="E897" s="23" t="s">
        <v>1733</v>
      </c>
      <c r="F897" s="23">
        <v>4</v>
      </c>
    </row>
    <row r="898" customHeight="1" spans="1:6">
      <c r="A898" s="22">
        <v>45856</v>
      </c>
      <c r="B898" s="23" t="s">
        <v>1734</v>
      </c>
      <c r="C898" s="23">
        <v>1867250850</v>
      </c>
      <c r="D898" s="23"/>
      <c r="E898" s="23" t="s">
        <v>1735</v>
      </c>
      <c r="F898" s="23">
        <v>1</v>
      </c>
    </row>
    <row r="899" customHeight="1" spans="1:6">
      <c r="A899" s="22">
        <v>45856</v>
      </c>
      <c r="B899" s="23" t="s">
        <v>1736</v>
      </c>
      <c r="C899" s="23">
        <v>13328155050</v>
      </c>
      <c r="D899" s="23"/>
      <c r="E899" s="23" t="s">
        <v>1737</v>
      </c>
      <c r="F899" s="23">
        <v>3</v>
      </c>
    </row>
    <row r="900" customHeight="1" spans="1:6">
      <c r="A900" s="22">
        <v>45857</v>
      </c>
      <c r="B900" s="23" t="s">
        <v>1738</v>
      </c>
      <c r="C900" s="23">
        <v>13523701279</v>
      </c>
      <c r="D900" s="23"/>
      <c r="E900" s="23" t="s">
        <v>1739</v>
      </c>
      <c r="F900" s="23">
        <v>2</v>
      </c>
    </row>
    <row r="901" customHeight="1" spans="1:6">
      <c r="A901" s="22">
        <v>45857</v>
      </c>
      <c r="B901" s="23" t="s">
        <v>1740</v>
      </c>
      <c r="C901" s="23">
        <v>13797427650</v>
      </c>
      <c r="D901" s="23"/>
      <c r="E901" s="23" t="s">
        <v>1076</v>
      </c>
      <c r="F901" s="23">
        <v>2</v>
      </c>
    </row>
    <row r="902" customHeight="1" spans="1:6">
      <c r="A902" s="22">
        <v>45857</v>
      </c>
      <c r="B902" s="23" t="s">
        <v>1741</v>
      </c>
      <c r="C902" s="23">
        <v>17871387279</v>
      </c>
      <c r="D902" s="23"/>
      <c r="E902" s="23" t="s">
        <v>800</v>
      </c>
      <c r="F902" s="23">
        <v>1</v>
      </c>
    </row>
    <row r="903" customHeight="1" spans="1:6">
      <c r="A903" s="22">
        <v>45857</v>
      </c>
      <c r="B903" s="23" t="s">
        <v>1742</v>
      </c>
      <c r="C903" s="23">
        <v>18380703950</v>
      </c>
      <c r="D903" s="23"/>
      <c r="E903" s="23" t="s">
        <v>1743</v>
      </c>
      <c r="F903" s="23">
        <v>1</v>
      </c>
    </row>
    <row r="904" customHeight="1" spans="1:6">
      <c r="A904" s="22">
        <v>45857</v>
      </c>
      <c r="B904" s="23" t="s">
        <v>1744</v>
      </c>
      <c r="C904" s="23">
        <v>15549436728</v>
      </c>
      <c r="D904" s="23"/>
      <c r="E904" s="23" t="s">
        <v>1745</v>
      </c>
      <c r="F904" s="23">
        <v>2</v>
      </c>
    </row>
    <row r="905" customHeight="1" spans="1:6">
      <c r="A905" s="22">
        <v>45857</v>
      </c>
      <c r="B905" s="23" t="s">
        <v>1746</v>
      </c>
      <c r="C905" s="23">
        <v>15327310422</v>
      </c>
      <c r="D905" s="23"/>
      <c r="E905" s="23" t="s">
        <v>1142</v>
      </c>
      <c r="F905" s="23">
        <v>1</v>
      </c>
    </row>
    <row r="906" customHeight="1" spans="1:6">
      <c r="A906" s="22">
        <v>45859</v>
      </c>
      <c r="B906" s="23" t="s">
        <v>1747</v>
      </c>
      <c r="C906" s="23">
        <v>17571773185</v>
      </c>
      <c r="D906" s="23"/>
      <c r="E906" s="23" t="s">
        <v>1135</v>
      </c>
      <c r="F906" s="23">
        <v>1</v>
      </c>
    </row>
    <row r="907" customHeight="1" spans="1:6">
      <c r="A907" s="22">
        <v>45859</v>
      </c>
      <c r="B907" s="23" t="s">
        <v>1748</v>
      </c>
      <c r="C907" s="23">
        <v>18851606636</v>
      </c>
      <c r="D907" s="23"/>
      <c r="E907" s="23" t="s">
        <v>1632</v>
      </c>
      <c r="F907" s="23">
        <v>1</v>
      </c>
    </row>
    <row r="908" customHeight="1" spans="1:6">
      <c r="A908" s="22">
        <v>45859</v>
      </c>
      <c r="B908" s="23" t="s">
        <v>1460</v>
      </c>
      <c r="C908" s="23">
        <v>13469788159</v>
      </c>
      <c r="D908" s="23"/>
      <c r="E908" s="23" t="s">
        <v>1632</v>
      </c>
      <c r="F908" s="23">
        <v>1</v>
      </c>
    </row>
    <row r="909" customHeight="1" spans="1:6">
      <c r="A909" s="22">
        <v>45862</v>
      </c>
      <c r="B909" s="23" t="s">
        <v>1749</v>
      </c>
      <c r="C909" s="23">
        <v>15271936265</v>
      </c>
      <c r="D909" s="23"/>
      <c r="E909" s="23" t="s">
        <v>1135</v>
      </c>
      <c r="F909" s="23">
        <v>2</v>
      </c>
    </row>
    <row r="910" customHeight="1" spans="1:6">
      <c r="A910" s="22">
        <v>45862</v>
      </c>
      <c r="B910" s="23" t="s">
        <v>1750</v>
      </c>
      <c r="C910" s="23">
        <v>13163390334</v>
      </c>
      <c r="D910" s="23"/>
      <c r="E910" s="23" t="s">
        <v>1135</v>
      </c>
      <c r="F910" s="23">
        <v>2</v>
      </c>
    </row>
    <row r="911" customHeight="1" spans="1:6">
      <c r="A911" s="22">
        <v>45862</v>
      </c>
      <c r="B911" s="23" t="s">
        <v>1751</v>
      </c>
      <c r="C911" s="23">
        <v>15271936258</v>
      </c>
      <c r="D911" s="23"/>
      <c r="E911" s="23" t="s">
        <v>1135</v>
      </c>
      <c r="F911" s="23">
        <v>2</v>
      </c>
    </row>
    <row r="912" customHeight="1" spans="1:6">
      <c r="A912" s="22">
        <v>45867</v>
      </c>
      <c r="B912" s="23" t="s">
        <v>1752</v>
      </c>
      <c r="C912" s="23">
        <v>15271758205</v>
      </c>
      <c r="D912" s="23"/>
      <c r="E912" s="23" t="s">
        <v>1142</v>
      </c>
      <c r="F912" s="23">
        <v>1</v>
      </c>
    </row>
    <row r="913" customHeight="1" spans="1:6">
      <c r="A913" s="22">
        <v>45867</v>
      </c>
      <c r="B913" s="23" t="s">
        <v>1753</v>
      </c>
      <c r="C913" s="23">
        <v>15971437367</v>
      </c>
      <c r="D913" s="23"/>
      <c r="E913" s="23" t="s">
        <v>936</v>
      </c>
      <c r="F913" s="23">
        <v>1</v>
      </c>
    </row>
    <row r="914" customHeight="1" spans="1:6">
      <c r="A914" s="22">
        <v>45867</v>
      </c>
      <c r="B914" s="23" t="s">
        <v>1754</v>
      </c>
      <c r="C914" s="23">
        <v>15307179101</v>
      </c>
      <c r="D914" s="23"/>
      <c r="E914" s="23" t="s">
        <v>1755</v>
      </c>
      <c r="F914" s="23">
        <v>1</v>
      </c>
    </row>
    <row r="915" customHeight="1" spans="1:6">
      <c r="A915" s="22">
        <v>45867</v>
      </c>
      <c r="B915" s="23" t="s">
        <v>1756</v>
      </c>
      <c r="C915" s="23">
        <v>18571851579</v>
      </c>
      <c r="D915" s="23"/>
      <c r="E915" s="23" t="s">
        <v>800</v>
      </c>
      <c r="F915" s="23">
        <v>1</v>
      </c>
    </row>
    <row r="916" customHeight="1" spans="1:6">
      <c r="A916" s="22">
        <v>45867</v>
      </c>
      <c r="B916" s="23" t="s">
        <v>1757</v>
      </c>
      <c r="C916" s="23">
        <v>13477462002</v>
      </c>
      <c r="D916" s="23"/>
      <c r="E916" s="23" t="s">
        <v>1553</v>
      </c>
      <c r="F916" s="23">
        <v>1</v>
      </c>
    </row>
    <row r="917" customHeight="1" spans="1:6">
      <c r="A917" s="22">
        <v>45867</v>
      </c>
      <c r="B917" s="23" t="s">
        <v>1758</v>
      </c>
      <c r="C917" s="23">
        <v>15072445922</v>
      </c>
      <c r="D917" s="23"/>
      <c r="E917" s="23" t="s">
        <v>968</v>
      </c>
      <c r="F917" s="23">
        <v>1</v>
      </c>
    </row>
    <row r="918" customHeight="1" spans="1:6">
      <c r="A918" s="22">
        <v>45867</v>
      </c>
      <c r="B918" s="23" t="s">
        <v>1759</v>
      </c>
      <c r="C918" s="23">
        <v>1527174510</v>
      </c>
      <c r="D918" s="23"/>
      <c r="E918" s="23" t="s">
        <v>968</v>
      </c>
      <c r="F918" s="23">
        <v>1</v>
      </c>
    </row>
    <row r="919" customHeight="1" spans="1:6">
      <c r="A919" s="22">
        <v>45867</v>
      </c>
      <c r="B919" s="23" t="s">
        <v>1760</v>
      </c>
      <c r="C919" s="23">
        <v>16671033430</v>
      </c>
      <c r="D919" s="23"/>
      <c r="E919" s="23" t="s">
        <v>831</v>
      </c>
      <c r="F919" s="23">
        <v>1</v>
      </c>
    </row>
    <row r="920" customHeight="1" spans="1:6">
      <c r="A920" s="22">
        <v>45867</v>
      </c>
      <c r="B920" s="23" t="s">
        <v>1761</v>
      </c>
      <c r="C920" s="23">
        <v>13971657263</v>
      </c>
      <c r="D920" s="23"/>
      <c r="E920" s="23" t="s">
        <v>1762</v>
      </c>
      <c r="F920" s="23">
        <v>2</v>
      </c>
    </row>
    <row r="921" customHeight="1" spans="1:6">
      <c r="A921" s="22">
        <v>45867</v>
      </c>
      <c r="B921" s="23" t="s">
        <v>1763</v>
      </c>
      <c r="C921" s="23">
        <v>15671140889</v>
      </c>
      <c r="D921" s="23"/>
      <c r="E921" s="23" t="s">
        <v>1668</v>
      </c>
      <c r="F921" s="23">
        <v>1</v>
      </c>
    </row>
    <row r="922" customHeight="1" spans="1:6">
      <c r="A922" s="22">
        <v>45867</v>
      </c>
      <c r="B922" s="23" t="s">
        <v>821</v>
      </c>
      <c r="C922" s="23">
        <v>13881150436</v>
      </c>
      <c r="D922" s="23"/>
      <c r="E922" s="23" t="s">
        <v>1549</v>
      </c>
      <c r="F922" s="23">
        <v>1</v>
      </c>
    </row>
    <row r="923" customHeight="1" spans="1:6">
      <c r="A923" s="22">
        <v>45868</v>
      </c>
      <c r="B923" s="23" t="s">
        <v>1764</v>
      </c>
      <c r="C923" s="23">
        <v>17386088203</v>
      </c>
      <c r="D923" s="23"/>
      <c r="E923" s="23" t="s">
        <v>1553</v>
      </c>
      <c r="F923" s="23">
        <v>1</v>
      </c>
    </row>
    <row r="924" customHeight="1" spans="1:6">
      <c r="A924" s="22">
        <v>45868</v>
      </c>
      <c r="B924" s="23" t="s">
        <v>1765</v>
      </c>
      <c r="C924" s="23">
        <v>17354362446</v>
      </c>
      <c r="D924" s="23"/>
      <c r="E924" s="23" t="s">
        <v>1766</v>
      </c>
      <c r="F924" s="23">
        <v>2</v>
      </c>
    </row>
    <row r="925" customHeight="1" spans="1:6">
      <c r="A925" s="22">
        <v>45868</v>
      </c>
      <c r="B925" s="23" t="s">
        <v>1767</v>
      </c>
      <c r="C925" s="23">
        <v>18086527655</v>
      </c>
      <c r="D925" s="23"/>
      <c r="E925" s="23" t="s">
        <v>1768</v>
      </c>
      <c r="F925" s="23">
        <v>2</v>
      </c>
    </row>
    <row r="926" customHeight="1" spans="1:6">
      <c r="A926" s="22">
        <v>45869</v>
      </c>
      <c r="B926" s="23" t="s">
        <v>1769</v>
      </c>
      <c r="C926" s="23">
        <v>13128198219</v>
      </c>
      <c r="D926" s="23"/>
      <c r="E926" s="23" t="s">
        <v>800</v>
      </c>
      <c r="F926" s="23">
        <v>1</v>
      </c>
    </row>
    <row r="927" customHeight="1" spans="1:6">
      <c r="A927" s="22">
        <v>45869</v>
      </c>
      <c r="B927" s="23" t="s">
        <v>1770</v>
      </c>
      <c r="C927" s="23">
        <v>15307179109</v>
      </c>
      <c r="D927" s="23"/>
      <c r="E927" s="23" t="s">
        <v>1771</v>
      </c>
      <c r="F927" s="23">
        <v>2</v>
      </c>
    </row>
    <row r="928" customHeight="1" spans="1:6">
      <c r="A928" s="22">
        <v>45869</v>
      </c>
      <c r="B928" s="23" t="s">
        <v>1772</v>
      </c>
      <c r="C928" s="23">
        <v>18810602664</v>
      </c>
      <c r="D928" s="23"/>
      <c r="E928" s="23" t="s">
        <v>1773</v>
      </c>
      <c r="F928" s="23">
        <v>2</v>
      </c>
    </row>
    <row r="929" customHeight="1" spans="1:32">
      <c r="A929" s="22">
        <v>45869</v>
      </c>
      <c r="B929" s="23" t="s">
        <v>1774</v>
      </c>
      <c r="C929" s="23">
        <v>15201186400</v>
      </c>
      <c r="D929" s="23"/>
      <c r="E929" s="23" t="s">
        <v>800</v>
      </c>
      <c r="F929" s="23">
        <v>1</v>
      </c>
    </row>
    <row r="930" customHeight="1" spans="1:32">
      <c r="A930" s="22">
        <v>45869</v>
      </c>
      <c r="B930" s="23" t="s">
        <v>1775</v>
      </c>
      <c r="C930" s="23">
        <v>13986216849</v>
      </c>
      <c r="D930" s="23"/>
      <c r="E930" s="23" t="s">
        <v>1553</v>
      </c>
      <c r="F930" s="23">
        <v>1</v>
      </c>
    </row>
    <row r="931" customHeight="1" spans="1:32">
      <c r="A931" s="22">
        <v>45869</v>
      </c>
      <c r="B931" s="23" t="s">
        <v>1776</v>
      </c>
      <c r="C931" s="23">
        <v>17639531015</v>
      </c>
      <c r="D931" s="23"/>
      <c r="E931" s="23" t="s">
        <v>1553</v>
      </c>
      <c r="F931" s="23">
        <v>1</v>
      </c>
    </row>
    <row r="932" customHeight="1" spans="1:32">
      <c r="A932" s="22">
        <v>45869</v>
      </c>
      <c r="B932" s="23" t="s">
        <v>1777</v>
      </c>
      <c r="C932" s="23">
        <v>15271936265</v>
      </c>
      <c r="D932" s="23"/>
      <c r="E932" s="23" t="s">
        <v>1778</v>
      </c>
      <c r="F932" s="23">
        <v>3</v>
      </c>
    </row>
    <row r="933" customHeight="1" spans="1:32">
      <c r="A933" s="22">
        <v>45869</v>
      </c>
      <c r="B933" s="23" t="s">
        <v>1750</v>
      </c>
      <c r="C933" s="23">
        <v>13163390334</v>
      </c>
      <c r="D933" s="23"/>
      <c r="E933" s="23" t="s">
        <v>1779</v>
      </c>
      <c r="F933" s="23">
        <v>2</v>
      </c>
    </row>
    <row r="934" customHeight="1" spans="1:32">
      <c r="A934" s="22">
        <v>45869</v>
      </c>
      <c r="B934" s="23" t="s">
        <v>1780</v>
      </c>
      <c r="C934" s="23">
        <v>18271949731</v>
      </c>
      <c r="D934" s="23"/>
      <c r="E934" s="23" t="s">
        <v>936</v>
      </c>
      <c r="F934" s="23">
        <v>1</v>
      </c>
    </row>
    <row r="935" customHeight="1" spans="1:32">
      <c r="A935" s="22">
        <v>45869</v>
      </c>
      <c r="B935" s="23" t="s">
        <v>1781</v>
      </c>
      <c r="C935" s="23">
        <v>15071005707</v>
      </c>
      <c r="D935" s="23"/>
      <c r="E935" s="23" t="s">
        <v>1782</v>
      </c>
      <c r="F935" s="23">
        <v>4</v>
      </c>
    </row>
    <row r="936" customHeight="1" spans="1:32">
      <c r="A936" s="22">
        <v>45869</v>
      </c>
      <c r="B936" s="23" t="s">
        <v>1783</v>
      </c>
      <c r="C936" s="23">
        <v>15994228609</v>
      </c>
      <c r="D936" s="23"/>
      <c r="E936" s="23" t="s">
        <v>1142</v>
      </c>
      <c r="F936" s="23">
        <v>1</v>
      </c>
    </row>
    <row r="937" customHeight="1" spans="1:32">
      <c r="A937" s="22">
        <v>45870</v>
      </c>
      <c r="B937" s="23" t="s">
        <v>1784</v>
      </c>
      <c r="C937" s="23">
        <v>13294188809</v>
      </c>
      <c r="D937" s="23"/>
      <c r="E937" s="23" t="s">
        <v>1579</v>
      </c>
      <c r="F937" s="23">
        <v>1</v>
      </c>
    </row>
    <row r="938" customHeight="1" spans="1:32">
      <c r="A938" s="36">
        <v>45870</v>
      </c>
      <c r="B938" s="23" t="s">
        <v>1785</v>
      </c>
      <c r="C938" s="23">
        <v>15527818091</v>
      </c>
      <c r="D938" s="23"/>
      <c r="E938" s="23" t="s">
        <v>1786</v>
      </c>
      <c r="F938" s="23">
        <v>1</v>
      </c>
    </row>
    <row r="939" s="9" customFormat="1" customHeight="1" spans="1:32">
      <c r="A939" s="22">
        <v>45870</v>
      </c>
      <c r="B939" s="23" t="s">
        <v>1787</v>
      </c>
      <c r="C939" s="23">
        <v>18693270821</v>
      </c>
      <c r="D939" s="23"/>
      <c r="E939" s="23" t="s">
        <v>843</v>
      </c>
      <c r="F939" s="23">
        <v>1</v>
      </c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customHeight="1" spans="1:32">
      <c r="A940" s="22">
        <v>45870</v>
      </c>
      <c r="B940" s="23" t="s">
        <v>1788</v>
      </c>
      <c r="C940" s="23">
        <v>16602714433</v>
      </c>
      <c r="D940" s="23"/>
      <c r="E940" s="23" t="s">
        <v>829</v>
      </c>
      <c r="F940" s="23">
        <v>1</v>
      </c>
    </row>
    <row r="941" customHeight="1" spans="1:32">
      <c r="A941" s="22">
        <v>45870</v>
      </c>
      <c r="B941" s="23" t="s">
        <v>1789</v>
      </c>
      <c r="C941" s="23">
        <v>15171237165</v>
      </c>
      <c r="D941" s="23"/>
      <c r="E941" s="23" t="s">
        <v>1790</v>
      </c>
      <c r="F941" s="23">
        <v>2</v>
      </c>
    </row>
    <row r="942" customHeight="1" spans="1:32">
      <c r="A942" s="22">
        <v>45873</v>
      </c>
      <c r="B942" s="23" t="s">
        <v>1791</v>
      </c>
      <c r="C942" s="23">
        <v>18025575354</v>
      </c>
      <c r="D942" s="23"/>
      <c r="E942" s="23" t="s">
        <v>1790</v>
      </c>
      <c r="F942" s="23">
        <v>2</v>
      </c>
    </row>
    <row r="943" customHeight="1" spans="1:32">
      <c r="A943" s="22">
        <v>45874</v>
      </c>
      <c r="B943" s="23" t="s">
        <v>1792</v>
      </c>
      <c r="C943" s="23">
        <v>13871165162</v>
      </c>
      <c r="D943" s="23"/>
      <c r="E943" s="23" t="s">
        <v>1793</v>
      </c>
      <c r="F943" s="23">
        <v>1</v>
      </c>
    </row>
    <row r="944" customHeight="1" spans="1:32">
      <c r="A944" s="22">
        <v>45877</v>
      </c>
      <c r="B944" s="23" t="s">
        <v>1794</v>
      </c>
      <c r="C944" s="23">
        <v>18827196938</v>
      </c>
      <c r="D944" s="23"/>
      <c r="E944" s="23" t="s">
        <v>1795</v>
      </c>
      <c r="F944" s="23">
        <v>3</v>
      </c>
    </row>
    <row r="945" customHeight="1" spans="1:6">
      <c r="A945" s="22">
        <v>45877</v>
      </c>
      <c r="B945" s="23" t="s">
        <v>1796</v>
      </c>
      <c r="C945" s="23">
        <v>18164012019</v>
      </c>
      <c r="D945" s="23"/>
      <c r="E945" s="23" t="s">
        <v>1797</v>
      </c>
      <c r="F945" s="23">
        <v>1</v>
      </c>
    </row>
    <row r="946" customHeight="1" spans="1:6">
      <c r="A946" s="22">
        <v>45881</v>
      </c>
      <c r="B946" s="26" t="s">
        <v>1798</v>
      </c>
      <c r="C946" s="26">
        <v>19872005551</v>
      </c>
      <c r="D946" s="26" t="s">
        <v>140</v>
      </c>
      <c r="E946" s="23" t="s">
        <v>1790</v>
      </c>
      <c r="F946" s="23">
        <v>2</v>
      </c>
    </row>
    <row r="947" customHeight="1" spans="1:6">
      <c r="A947" s="22">
        <v>45883</v>
      </c>
      <c r="B947" s="26" t="s">
        <v>1799</v>
      </c>
      <c r="C947" s="26">
        <v>15002726925</v>
      </c>
      <c r="D947" s="23"/>
      <c r="E947" s="23" t="s">
        <v>1790</v>
      </c>
      <c r="F947" s="23">
        <v>2</v>
      </c>
    </row>
    <row r="948" customHeight="1" spans="1:6">
      <c r="A948" s="22">
        <v>45883</v>
      </c>
      <c r="B948" s="26" t="s">
        <v>1800</v>
      </c>
      <c r="C948" s="26">
        <v>15802747003</v>
      </c>
      <c r="D948" s="23"/>
      <c r="E948" s="23" t="s">
        <v>1790</v>
      </c>
      <c r="F948" s="23">
        <v>2</v>
      </c>
    </row>
    <row r="949" customHeight="1" spans="1:6">
      <c r="A949" s="22">
        <v>45883</v>
      </c>
      <c r="B949" s="26" t="s">
        <v>286</v>
      </c>
      <c r="C949" s="26">
        <v>13319636691</v>
      </c>
      <c r="D949" s="23"/>
      <c r="E949" s="23" t="s">
        <v>1790</v>
      </c>
      <c r="F949" s="23">
        <v>2</v>
      </c>
    </row>
    <row r="950" customHeight="1" spans="1:6">
      <c r="A950" s="22">
        <v>45884</v>
      </c>
      <c r="B950" s="26" t="s">
        <v>1801</v>
      </c>
      <c r="C950" s="26">
        <v>18373710653</v>
      </c>
      <c r="D950" s="23"/>
      <c r="E950" s="23" t="s">
        <v>843</v>
      </c>
      <c r="F950" s="23">
        <v>1</v>
      </c>
    </row>
    <row r="951" customHeight="1" spans="1:6">
      <c r="A951" s="22">
        <v>45885</v>
      </c>
      <c r="B951" s="26" t="s">
        <v>1802</v>
      </c>
      <c r="C951" s="26">
        <v>15342219405</v>
      </c>
      <c r="D951" s="23"/>
      <c r="E951" s="23" t="s">
        <v>1790</v>
      </c>
      <c r="F951" s="23">
        <v>2</v>
      </c>
    </row>
    <row r="952" customHeight="1" spans="1:6">
      <c r="A952" s="22">
        <v>45890</v>
      </c>
      <c r="B952" s="23" t="s">
        <v>1803</v>
      </c>
      <c r="C952" s="23">
        <v>15037875803</v>
      </c>
      <c r="D952" s="23"/>
      <c r="E952" s="23" t="s">
        <v>1790</v>
      </c>
      <c r="F952" s="23">
        <v>2</v>
      </c>
    </row>
    <row r="953" customHeight="1" spans="1:6">
      <c r="A953" s="22">
        <v>45890</v>
      </c>
      <c r="B953" s="23" t="s">
        <v>1804</v>
      </c>
      <c r="C953" s="23">
        <v>13995815803</v>
      </c>
      <c r="D953" s="23"/>
      <c r="E953" s="23" t="s">
        <v>1790</v>
      </c>
      <c r="F953" s="23">
        <v>2</v>
      </c>
    </row>
    <row r="954" customHeight="1" spans="1:6">
      <c r="A954" s="22">
        <v>45890</v>
      </c>
      <c r="B954" s="23" t="s">
        <v>1805</v>
      </c>
      <c r="C954" s="23">
        <v>15703732927</v>
      </c>
      <c r="D954" s="23"/>
      <c r="E954" s="23" t="s">
        <v>1790</v>
      </c>
      <c r="F954" s="23">
        <v>2</v>
      </c>
    </row>
    <row r="955" customHeight="1" spans="1:6">
      <c r="A955" s="22">
        <v>45896</v>
      </c>
      <c r="B955" s="23" t="s">
        <v>1806</v>
      </c>
      <c r="C955" s="23"/>
      <c r="D955" s="23"/>
      <c r="E955" s="23" t="s">
        <v>1807</v>
      </c>
      <c r="F955" s="23">
        <v>2</v>
      </c>
    </row>
    <row r="956" customHeight="1" spans="1:6">
      <c r="A956" s="22">
        <v>45896</v>
      </c>
      <c r="B956" s="23" t="s">
        <v>1808</v>
      </c>
      <c r="C956" s="23"/>
      <c r="D956" s="23"/>
      <c r="E956" s="23" t="s">
        <v>1807</v>
      </c>
      <c r="F956" s="23">
        <v>2</v>
      </c>
    </row>
    <row r="957" customHeight="1" spans="1:6">
      <c r="A957" s="22">
        <v>45896</v>
      </c>
      <c r="B957" s="23" t="s">
        <v>1809</v>
      </c>
      <c r="C957" s="23">
        <v>18062116316</v>
      </c>
      <c r="D957" s="23"/>
      <c r="E957" s="23" t="s">
        <v>1810</v>
      </c>
      <c r="F957" s="23">
        <v>1</v>
      </c>
    </row>
    <row r="958" customHeight="1" spans="1:6">
      <c r="A958" s="22">
        <v>45900</v>
      </c>
      <c r="B958" s="23" t="s">
        <v>1811</v>
      </c>
      <c r="C958" s="23">
        <v>15630696856</v>
      </c>
      <c r="D958" s="23"/>
      <c r="E958" s="23" t="s">
        <v>1812</v>
      </c>
      <c r="F958" s="23">
        <v>20</v>
      </c>
    </row>
    <row r="959" customHeight="1" spans="1:6">
      <c r="A959" s="22">
        <v>45900</v>
      </c>
      <c r="B959" s="23" t="s">
        <v>1813</v>
      </c>
      <c r="C959" s="23">
        <v>15972282287</v>
      </c>
      <c r="D959" s="23"/>
      <c r="E959" s="23" t="s">
        <v>1076</v>
      </c>
      <c r="F959" s="23">
        <v>2</v>
      </c>
    </row>
    <row r="960" customHeight="1" spans="1:6">
      <c r="A960" s="22">
        <v>45900</v>
      </c>
      <c r="B960" s="23" t="s">
        <v>1814</v>
      </c>
      <c r="C960" s="23">
        <v>15630696856</v>
      </c>
      <c r="D960" s="23"/>
      <c r="E960" s="23" t="s">
        <v>1076</v>
      </c>
      <c r="F960" s="23">
        <v>2</v>
      </c>
    </row>
    <row r="961" customHeight="1" spans="1:6">
      <c r="A961" s="22">
        <v>45901</v>
      </c>
      <c r="B961" s="23" t="s">
        <v>1815</v>
      </c>
      <c r="C961" s="23">
        <v>17879604730</v>
      </c>
      <c r="D961" s="23"/>
      <c r="E961" s="23" t="s">
        <v>1076</v>
      </c>
      <c r="F961" s="23">
        <v>2</v>
      </c>
    </row>
    <row r="962" customHeight="1" spans="1:6">
      <c r="A962" s="22">
        <v>45901</v>
      </c>
      <c r="B962" s="23" t="s">
        <v>1816</v>
      </c>
      <c r="C962" s="23">
        <v>18569424962</v>
      </c>
      <c r="D962" s="23"/>
      <c r="E962" s="23" t="s">
        <v>1817</v>
      </c>
      <c r="F962" s="23">
        <v>3</v>
      </c>
    </row>
    <row r="963" customHeight="1" spans="1:6">
      <c r="A963" s="22">
        <v>45901</v>
      </c>
      <c r="B963" s="23" t="s">
        <v>1818</v>
      </c>
      <c r="C963" s="23">
        <v>19027261853</v>
      </c>
      <c r="D963" s="23"/>
      <c r="E963" s="23" t="s">
        <v>1819</v>
      </c>
      <c r="F963" s="23">
        <v>3</v>
      </c>
    </row>
    <row r="964" customHeight="1" spans="1:6">
      <c r="A964" s="22">
        <v>45902</v>
      </c>
      <c r="B964" s="23" t="s">
        <v>1820</v>
      </c>
      <c r="C964" s="23">
        <v>15337133772</v>
      </c>
      <c r="D964" s="23"/>
      <c r="E964" s="23" t="s">
        <v>980</v>
      </c>
      <c r="F964" s="23">
        <v>1</v>
      </c>
    </row>
    <row r="965" customHeight="1" spans="1:6">
      <c r="A965" s="22">
        <v>45902</v>
      </c>
      <c r="B965" s="23" t="s">
        <v>1821</v>
      </c>
      <c r="C965" s="23">
        <v>18727789208</v>
      </c>
      <c r="D965" s="23"/>
      <c r="E965" s="23" t="s">
        <v>1076</v>
      </c>
      <c r="F965" s="23">
        <v>2</v>
      </c>
    </row>
    <row r="966" customHeight="1" spans="1:6">
      <c r="A966" s="22">
        <v>45902</v>
      </c>
      <c r="B966" s="23" t="s">
        <v>1822</v>
      </c>
      <c r="C966" s="23">
        <v>15927059784</v>
      </c>
      <c r="D966" s="23"/>
      <c r="E966" s="23" t="s">
        <v>968</v>
      </c>
      <c r="F966" s="23">
        <v>1</v>
      </c>
    </row>
    <row r="967" customHeight="1" spans="1:6">
      <c r="A967" s="22">
        <v>45902</v>
      </c>
      <c r="B967" s="23" t="s">
        <v>1823</v>
      </c>
      <c r="C967" s="23">
        <v>18062329922</v>
      </c>
      <c r="D967" s="23"/>
      <c r="E967" s="23" t="s">
        <v>1755</v>
      </c>
      <c r="F967" s="23">
        <v>1</v>
      </c>
    </row>
    <row r="968" customHeight="1" spans="1:6">
      <c r="A968" s="22">
        <v>45902</v>
      </c>
      <c r="B968" s="23" t="s">
        <v>1824</v>
      </c>
      <c r="C968" s="23">
        <v>15802776177</v>
      </c>
      <c r="D968" s="23"/>
      <c r="E968" s="23" t="s">
        <v>800</v>
      </c>
      <c r="F968" s="23">
        <v>1</v>
      </c>
    </row>
    <row r="969" customHeight="1" spans="1:6">
      <c r="A969" s="22">
        <v>45902</v>
      </c>
      <c r="B969" s="23" t="s">
        <v>1825</v>
      </c>
      <c r="C969" s="23">
        <v>15071344618</v>
      </c>
      <c r="D969" s="23"/>
      <c r="E969" s="23" t="s">
        <v>968</v>
      </c>
      <c r="F969" s="23">
        <v>1</v>
      </c>
    </row>
    <row r="970" customHeight="1" spans="1:6">
      <c r="A970" s="22">
        <v>45902</v>
      </c>
      <c r="B970" s="23" t="s">
        <v>1826</v>
      </c>
      <c r="C970" s="23">
        <v>18942943358</v>
      </c>
      <c r="D970" s="23"/>
      <c r="E970" s="23" t="s">
        <v>1827</v>
      </c>
      <c r="F970" s="23">
        <v>1</v>
      </c>
    </row>
    <row r="971" customHeight="1" spans="1:6">
      <c r="A971" s="22">
        <v>45902</v>
      </c>
      <c r="B971" s="23" t="s">
        <v>1828</v>
      </c>
      <c r="C971" s="23">
        <v>15871722789</v>
      </c>
      <c r="D971" s="23"/>
      <c r="E971" s="23" t="s">
        <v>797</v>
      </c>
      <c r="F971" s="23">
        <v>1</v>
      </c>
    </row>
    <row r="972" customHeight="1" spans="1:6">
      <c r="A972" s="22">
        <v>45903</v>
      </c>
      <c r="B972" s="23" t="s">
        <v>1829</v>
      </c>
      <c r="C972" s="23">
        <v>13667205235</v>
      </c>
      <c r="D972" s="23"/>
      <c r="E972" s="23" t="s">
        <v>980</v>
      </c>
      <c r="F972" s="23">
        <v>1</v>
      </c>
    </row>
    <row r="973" customHeight="1" spans="1:6">
      <c r="A973" s="22">
        <v>45903</v>
      </c>
      <c r="B973" s="23" t="s">
        <v>1830</v>
      </c>
      <c r="C973" s="23">
        <v>13774135795</v>
      </c>
      <c r="D973" s="23"/>
      <c r="E973" s="23" t="s">
        <v>829</v>
      </c>
      <c r="F973" s="23">
        <v>1</v>
      </c>
    </row>
    <row r="974" customHeight="1" spans="1:6">
      <c r="A974" s="22">
        <v>45903</v>
      </c>
      <c r="B974" s="23" t="s">
        <v>1803</v>
      </c>
      <c r="C974" s="23">
        <v>15037872260</v>
      </c>
      <c r="D974" s="23"/>
      <c r="E974" s="23" t="s">
        <v>835</v>
      </c>
      <c r="F974" s="23">
        <v>1</v>
      </c>
    </row>
    <row r="975" customHeight="1" spans="1:6">
      <c r="A975" s="22">
        <v>45903</v>
      </c>
      <c r="B975" s="23" t="s">
        <v>1831</v>
      </c>
      <c r="C975" s="23">
        <v>13581318421</v>
      </c>
      <c r="D975" s="23"/>
      <c r="E975" s="23" t="s">
        <v>1832</v>
      </c>
      <c r="F975" s="23">
        <v>2</v>
      </c>
    </row>
    <row r="976" customHeight="1" spans="1:6">
      <c r="A976" s="22">
        <v>45903</v>
      </c>
      <c r="B976" s="23" t="s">
        <v>1833</v>
      </c>
      <c r="C976" s="23">
        <v>15071159180</v>
      </c>
      <c r="D976" s="23"/>
      <c r="E976" s="23" t="s">
        <v>1142</v>
      </c>
      <c r="F976" s="23">
        <v>1</v>
      </c>
    </row>
    <row r="977" customHeight="1" spans="1:6">
      <c r="A977" s="22">
        <v>45903</v>
      </c>
      <c r="B977" s="23" t="s">
        <v>1834</v>
      </c>
      <c r="C977" s="23">
        <v>16602702779</v>
      </c>
      <c r="D977" s="23"/>
      <c r="E977" s="23" t="s">
        <v>876</v>
      </c>
      <c r="F977" s="23">
        <v>1</v>
      </c>
    </row>
    <row r="978" customHeight="1" spans="1:6">
      <c r="A978" s="22">
        <v>45903</v>
      </c>
      <c r="B978" s="23" t="s">
        <v>1835</v>
      </c>
      <c r="C978" s="23">
        <v>19172806791</v>
      </c>
      <c r="D978" s="23"/>
      <c r="E978" s="23" t="s">
        <v>753</v>
      </c>
      <c r="F978" s="23">
        <v>1</v>
      </c>
    </row>
    <row r="979" customHeight="1" spans="1:6">
      <c r="A979" s="22">
        <v>45903</v>
      </c>
      <c r="B979" s="23" t="s">
        <v>1836</v>
      </c>
      <c r="C979" s="23">
        <v>18238562873</v>
      </c>
      <c r="D979" s="23"/>
      <c r="E979" s="23" t="s">
        <v>980</v>
      </c>
      <c r="F979" s="23">
        <v>1</v>
      </c>
    </row>
    <row r="980" customHeight="1" spans="1:6">
      <c r="A980" s="22">
        <v>45903</v>
      </c>
      <c r="B980" s="23" t="s">
        <v>1837</v>
      </c>
      <c r="C980" s="23">
        <v>19873508890</v>
      </c>
      <c r="D980" s="23"/>
      <c r="E980" s="23" t="s">
        <v>1838</v>
      </c>
      <c r="F980" s="23">
        <v>2</v>
      </c>
    </row>
    <row r="981" customHeight="1" spans="1:6">
      <c r="A981" s="22">
        <v>45903</v>
      </c>
      <c r="B981" s="26" t="s">
        <v>1839</v>
      </c>
      <c r="C981" s="26">
        <v>13871570500</v>
      </c>
      <c r="D981" s="23"/>
      <c r="E981" s="23" t="s">
        <v>960</v>
      </c>
      <c r="F981" s="23">
        <v>1</v>
      </c>
    </row>
    <row r="982" customHeight="1" spans="1:6">
      <c r="A982" s="22">
        <v>45903</v>
      </c>
      <c r="B982" s="23" t="s">
        <v>1840</v>
      </c>
      <c r="C982" s="23">
        <v>18905427672</v>
      </c>
      <c r="D982" s="23"/>
      <c r="E982" s="23" t="s">
        <v>1076</v>
      </c>
      <c r="F982" s="23">
        <v>2</v>
      </c>
    </row>
    <row r="983" customHeight="1" spans="1:6">
      <c r="A983" s="22">
        <v>45903</v>
      </c>
      <c r="B983" s="23" t="s">
        <v>1841</v>
      </c>
      <c r="C983" s="23">
        <v>18271951952</v>
      </c>
      <c r="D983" s="23"/>
      <c r="E983" s="23" t="s">
        <v>960</v>
      </c>
      <c r="F983" s="23">
        <v>1</v>
      </c>
    </row>
    <row r="984" customHeight="1" spans="1:6">
      <c r="A984" s="22">
        <v>45903</v>
      </c>
      <c r="B984" s="23" t="s">
        <v>1842</v>
      </c>
      <c r="C984" s="23">
        <v>13871208321</v>
      </c>
      <c r="D984" s="23"/>
      <c r="E984" s="23" t="s">
        <v>1827</v>
      </c>
      <c r="F984" s="23">
        <v>1</v>
      </c>
    </row>
    <row r="985" customHeight="1" spans="1:6">
      <c r="A985" s="22">
        <v>45903</v>
      </c>
      <c r="B985" s="23" t="s">
        <v>1843</v>
      </c>
      <c r="C985" s="23">
        <v>19107125293</v>
      </c>
      <c r="D985" s="23"/>
      <c r="E985" s="23" t="s">
        <v>1553</v>
      </c>
      <c r="F985" s="23">
        <v>1</v>
      </c>
    </row>
    <row r="986" customHeight="1" spans="1:6">
      <c r="A986" s="22">
        <v>45904</v>
      </c>
      <c r="B986" s="23" t="s">
        <v>1844</v>
      </c>
      <c r="C986" s="23">
        <v>17666016285</v>
      </c>
      <c r="D986" s="23"/>
      <c r="E986" s="23" t="s">
        <v>797</v>
      </c>
      <c r="F986" s="23">
        <v>1</v>
      </c>
    </row>
    <row r="987" customHeight="1" spans="1:6">
      <c r="A987" s="22">
        <v>45904</v>
      </c>
      <c r="B987" s="23" t="s">
        <v>1845</v>
      </c>
      <c r="C987" s="23">
        <v>13545141120</v>
      </c>
      <c r="D987" s="23"/>
      <c r="E987" s="23" t="s">
        <v>800</v>
      </c>
      <c r="F987" s="23">
        <v>1</v>
      </c>
    </row>
    <row r="988" customHeight="1" spans="1:6">
      <c r="A988" s="22">
        <v>45904</v>
      </c>
      <c r="B988" s="23" t="s">
        <v>1846</v>
      </c>
      <c r="C988" s="23">
        <v>15272702752</v>
      </c>
      <c r="D988" s="23"/>
      <c r="E988" s="23" t="s">
        <v>800</v>
      </c>
      <c r="F988" s="23">
        <v>1</v>
      </c>
    </row>
    <row r="989" customHeight="1" spans="1:6">
      <c r="A989" s="22">
        <v>45904</v>
      </c>
      <c r="B989" s="23" t="s">
        <v>1847</v>
      </c>
      <c r="C989" s="23">
        <v>17871856319</v>
      </c>
      <c r="D989" s="23"/>
      <c r="E989" s="23" t="s">
        <v>960</v>
      </c>
      <c r="F989" s="23">
        <v>1</v>
      </c>
    </row>
    <row r="990" customHeight="1" spans="1:6">
      <c r="A990" s="22">
        <v>45904</v>
      </c>
      <c r="B990" s="23" t="s">
        <v>1848</v>
      </c>
      <c r="C990" s="23">
        <v>18971414916</v>
      </c>
      <c r="D990" s="23"/>
      <c r="E990" s="23" t="s">
        <v>1549</v>
      </c>
      <c r="F990" s="23">
        <v>1</v>
      </c>
    </row>
    <row r="991" customHeight="1" spans="1:6">
      <c r="A991" s="22">
        <v>45904</v>
      </c>
      <c r="B991" s="23" t="s">
        <v>1846</v>
      </c>
      <c r="C991" s="23">
        <v>15272702752</v>
      </c>
      <c r="D991" s="23"/>
      <c r="E991" s="23" t="s">
        <v>1849</v>
      </c>
      <c r="F991" s="23">
        <v>1</v>
      </c>
    </row>
    <row r="992" customHeight="1" spans="1:6">
      <c r="A992" s="22">
        <v>45904</v>
      </c>
      <c r="B992" s="23" t="s">
        <v>1847</v>
      </c>
      <c r="C992" s="23">
        <v>17871856319</v>
      </c>
      <c r="D992" s="23"/>
      <c r="E992" s="23" t="s">
        <v>1849</v>
      </c>
      <c r="F992" s="23">
        <v>1</v>
      </c>
    </row>
    <row r="993" customHeight="1" spans="1:6">
      <c r="A993" s="22">
        <v>45904</v>
      </c>
      <c r="B993" s="23" t="s">
        <v>1848</v>
      </c>
      <c r="C993" s="23">
        <v>18971414916</v>
      </c>
      <c r="D993" s="23"/>
      <c r="E993" s="23" t="s">
        <v>1849</v>
      </c>
      <c r="F993" s="23">
        <v>1</v>
      </c>
    </row>
    <row r="994" customHeight="1" spans="1:6">
      <c r="A994" s="22">
        <v>45904</v>
      </c>
      <c r="B994" s="23" t="s">
        <v>1850</v>
      </c>
      <c r="C994" s="23"/>
      <c r="D994" s="23"/>
      <c r="E994" s="23" t="s">
        <v>1851</v>
      </c>
      <c r="F994" s="23">
        <v>1</v>
      </c>
    </row>
    <row r="995" customHeight="1" spans="1:6">
      <c r="A995" s="22">
        <v>45904</v>
      </c>
      <c r="B995" s="23" t="s">
        <v>1852</v>
      </c>
      <c r="C995" s="23"/>
      <c r="D995" s="23"/>
      <c r="E995" s="23" t="s">
        <v>1851</v>
      </c>
      <c r="F995" s="23">
        <v>1</v>
      </c>
    </row>
    <row r="996" ht="29" customHeight="1" spans="1:6">
      <c r="A996" s="22">
        <v>45904</v>
      </c>
      <c r="B996" s="29" t="s">
        <v>1853</v>
      </c>
      <c r="C996" s="29" t="s">
        <v>1854</v>
      </c>
      <c r="D996" s="23"/>
      <c r="E996" s="23" t="s">
        <v>1855</v>
      </c>
      <c r="F996" s="23">
        <v>4</v>
      </c>
    </row>
    <row r="997" customHeight="1" spans="1:6">
      <c r="A997" s="22">
        <v>45904</v>
      </c>
      <c r="B997" s="23" t="s">
        <v>1856</v>
      </c>
      <c r="C997" s="23">
        <v>13485351162</v>
      </c>
      <c r="D997" s="23"/>
      <c r="E997" s="23" t="s">
        <v>1737</v>
      </c>
      <c r="F997" s="23">
        <v>3</v>
      </c>
    </row>
    <row r="998" customHeight="1" spans="1:6">
      <c r="A998" s="22">
        <v>45904</v>
      </c>
      <c r="B998" s="23" t="s">
        <v>1857</v>
      </c>
      <c r="C998" s="23">
        <v>18672577691</v>
      </c>
      <c r="D998" s="23"/>
      <c r="E998" s="23" t="s">
        <v>1858</v>
      </c>
      <c r="F998" s="23">
        <v>2</v>
      </c>
    </row>
    <row r="999" customHeight="1" spans="1:6">
      <c r="A999" s="22">
        <v>45905</v>
      </c>
      <c r="B999" s="23" t="s">
        <v>1859</v>
      </c>
      <c r="C999" s="23">
        <v>15237968694</v>
      </c>
      <c r="D999" s="23"/>
      <c r="E999" s="23" t="s">
        <v>968</v>
      </c>
      <c r="F999" s="23">
        <v>1</v>
      </c>
    </row>
    <row r="1000" customHeight="1" spans="1:6">
      <c r="A1000" s="22">
        <v>45905</v>
      </c>
      <c r="B1000" s="23" t="s">
        <v>1860</v>
      </c>
      <c r="C1000" s="23">
        <v>18999835961</v>
      </c>
      <c r="D1000" s="23"/>
      <c r="E1000" s="23" t="s">
        <v>831</v>
      </c>
      <c r="F1000" s="23">
        <v>1</v>
      </c>
    </row>
    <row r="1001" customHeight="1" spans="1:6">
      <c r="A1001" s="22">
        <v>45905</v>
      </c>
      <c r="B1001" s="23" t="s">
        <v>1861</v>
      </c>
      <c r="C1001" s="23">
        <v>15572366090</v>
      </c>
      <c r="D1001" s="23"/>
      <c r="E1001" s="23" t="s">
        <v>753</v>
      </c>
      <c r="F1001" s="23">
        <v>1</v>
      </c>
    </row>
    <row r="1002" customHeight="1" spans="1:6">
      <c r="A1002" s="22">
        <v>45905</v>
      </c>
      <c r="B1002" s="23" t="s">
        <v>1862</v>
      </c>
      <c r="C1002" s="23">
        <v>13337421474</v>
      </c>
      <c r="D1002" s="23"/>
      <c r="E1002" s="23" t="s">
        <v>960</v>
      </c>
      <c r="F1002" s="23">
        <v>1</v>
      </c>
    </row>
    <row r="1003" customHeight="1" spans="1:6">
      <c r="A1003" s="22">
        <v>45905</v>
      </c>
      <c r="B1003" s="23" t="s">
        <v>1863</v>
      </c>
      <c r="C1003" s="23">
        <v>18905427672</v>
      </c>
      <c r="D1003" s="23"/>
      <c r="E1003" s="23" t="s">
        <v>1046</v>
      </c>
      <c r="F1003" s="23">
        <v>1</v>
      </c>
    </row>
    <row r="1004" customHeight="1" spans="1:6">
      <c r="A1004" s="22">
        <v>45905</v>
      </c>
      <c r="B1004" s="23" t="s">
        <v>1085</v>
      </c>
      <c r="C1004" s="23">
        <v>15378378258</v>
      </c>
      <c r="D1004" s="23"/>
      <c r="E1004" s="23" t="s">
        <v>1864</v>
      </c>
      <c r="F1004" s="23">
        <v>3</v>
      </c>
    </row>
    <row r="1005" customHeight="1" spans="1:6">
      <c r="A1005" s="22">
        <v>45905</v>
      </c>
      <c r="B1005" s="23" t="s">
        <v>1865</v>
      </c>
      <c r="C1005" s="23">
        <v>15810673412</v>
      </c>
      <c r="D1005" s="23"/>
      <c r="E1005" s="23" t="s">
        <v>960</v>
      </c>
      <c r="F1005" s="23">
        <v>1</v>
      </c>
    </row>
    <row r="1006" customHeight="1" spans="1:6">
      <c r="A1006" s="22">
        <v>45905</v>
      </c>
      <c r="B1006" s="23" t="s">
        <v>1866</v>
      </c>
      <c r="C1006" s="23">
        <v>15274380250</v>
      </c>
      <c r="D1006" s="23"/>
      <c r="E1006" s="23" t="s">
        <v>838</v>
      </c>
      <c r="F1006" s="23">
        <v>1</v>
      </c>
    </row>
    <row r="1007" customHeight="1" spans="1:6">
      <c r="A1007" s="22">
        <v>45905</v>
      </c>
      <c r="B1007" s="23" t="s">
        <v>1867</v>
      </c>
      <c r="C1007" s="23">
        <v>17362985990</v>
      </c>
      <c r="D1007" s="23"/>
      <c r="E1007" s="23" t="s">
        <v>1868</v>
      </c>
      <c r="F1007" s="23">
        <v>2</v>
      </c>
    </row>
    <row r="1008" customHeight="1" spans="1:6">
      <c r="A1008" s="22">
        <v>45905</v>
      </c>
      <c r="B1008" s="23" t="s">
        <v>1869</v>
      </c>
      <c r="C1008" s="23">
        <v>15077952535</v>
      </c>
      <c r="D1008" s="23"/>
      <c r="E1008" s="23" t="s">
        <v>960</v>
      </c>
      <c r="F1008" s="23">
        <v>1</v>
      </c>
    </row>
    <row r="1009" customHeight="1" spans="1:6">
      <c r="A1009" s="22">
        <v>45905</v>
      </c>
      <c r="B1009" s="23" t="s">
        <v>1870</v>
      </c>
      <c r="C1009" s="23">
        <v>18374294301</v>
      </c>
      <c r="D1009" s="23"/>
      <c r="E1009" s="23" t="s">
        <v>968</v>
      </c>
      <c r="F1009" s="23">
        <v>1</v>
      </c>
    </row>
    <row r="1010" customHeight="1" spans="1:6">
      <c r="A1010" s="22">
        <v>45905</v>
      </c>
      <c r="B1010" s="23" t="s">
        <v>1871</v>
      </c>
      <c r="C1010" s="23">
        <v>18327049993</v>
      </c>
      <c r="D1010" s="23"/>
      <c r="E1010" s="23" t="s">
        <v>968</v>
      </c>
      <c r="F1010" s="23">
        <v>1</v>
      </c>
    </row>
    <row r="1011" customHeight="1" spans="1:6">
      <c r="A1011" s="22">
        <v>45906</v>
      </c>
      <c r="B1011" s="23" t="s">
        <v>1872</v>
      </c>
      <c r="C1011" s="23">
        <v>17386117850</v>
      </c>
      <c r="D1011" s="23"/>
      <c r="E1011" s="23" t="s">
        <v>1525</v>
      </c>
      <c r="F1011" s="23">
        <v>3</v>
      </c>
    </row>
    <row r="1012" customHeight="1" spans="1:6">
      <c r="A1012" s="22">
        <v>45906</v>
      </c>
      <c r="B1012" s="23" t="s">
        <v>1873</v>
      </c>
      <c r="C1012" s="23">
        <v>18071075911</v>
      </c>
      <c r="D1012" s="23"/>
      <c r="E1012" s="23" t="s">
        <v>960</v>
      </c>
      <c r="F1012" s="23">
        <v>1</v>
      </c>
    </row>
    <row r="1013" customHeight="1" spans="1:6">
      <c r="A1013" s="22">
        <v>45906</v>
      </c>
      <c r="B1013" s="23" t="s">
        <v>1874</v>
      </c>
      <c r="C1013" s="23">
        <v>15166946991</v>
      </c>
      <c r="D1013" s="23"/>
      <c r="E1013" s="23" t="s">
        <v>742</v>
      </c>
      <c r="F1013" s="23">
        <v>1</v>
      </c>
    </row>
    <row r="1014" customHeight="1" spans="1:6">
      <c r="A1014" s="22">
        <v>45906</v>
      </c>
      <c r="B1014" s="23" t="s">
        <v>1875</v>
      </c>
      <c r="C1014" s="23">
        <v>17639531115</v>
      </c>
      <c r="D1014" s="23"/>
      <c r="E1014" s="23" t="s">
        <v>1755</v>
      </c>
      <c r="F1014" s="23">
        <v>1</v>
      </c>
    </row>
    <row r="1015" customHeight="1" spans="1:6">
      <c r="A1015" s="22">
        <v>45906</v>
      </c>
      <c r="B1015" s="23" t="s">
        <v>1876</v>
      </c>
      <c r="C1015" s="23">
        <v>15180766567</v>
      </c>
      <c r="D1015" s="23"/>
      <c r="E1015" s="23" t="s">
        <v>876</v>
      </c>
      <c r="F1015" s="23">
        <v>1</v>
      </c>
    </row>
    <row r="1016" customHeight="1" spans="1:6">
      <c r="A1016" s="22">
        <v>45906</v>
      </c>
      <c r="B1016" s="23" t="s">
        <v>1877</v>
      </c>
      <c r="C1016" s="23">
        <v>17797599185</v>
      </c>
      <c r="D1016" s="23"/>
      <c r="E1016" s="23" t="s">
        <v>968</v>
      </c>
      <c r="F1016" s="23">
        <v>1</v>
      </c>
    </row>
    <row r="1017" customHeight="1" spans="1:6">
      <c r="A1017" s="22">
        <v>45906</v>
      </c>
      <c r="B1017" s="23" t="s">
        <v>1878</v>
      </c>
      <c r="C1017" s="23">
        <v>19897285778</v>
      </c>
      <c r="D1017" s="23"/>
      <c r="E1017" s="23" t="s">
        <v>980</v>
      </c>
      <c r="F1017" s="23">
        <v>1</v>
      </c>
    </row>
    <row r="1018" customHeight="1" spans="1:6">
      <c r="A1018" s="22">
        <v>45906</v>
      </c>
      <c r="B1018" s="23" t="s">
        <v>1879</v>
      </c>
      <c r="C1018" s="23">
        <v>15872418753</v>
      </c>
      <c r="D1018" s="23"/>
      <c r="E1018" s="23" t="s">
        <v>797</v>
      </c>
      <c r="F1018" s="23">
        <v>1</v>
      </c>
    </row>
    <row r="1019" customHeight="1" spans="1:6">
      <c r="A1019" s="22">
        <v>45906</v>
      </c>
      <c r="B1019" s="23" t="s">
        <v>920</v>
      </c>
      <c r="C1019" s="23">
        <v>18716502013</v>
      </c>
      <c r="D1019" s="23"/>
      <c r="E1019" s="23" t="s">
        <v>876</v>
      </c>
      <c r="F1019" s="23">
        <v>1</v>
      </c>
    </row>
    <row r="1020" customHeight="1" spans="1:6">
      <c r="A1020" s="22">
        <v>45906</v>
      </c>
      <c r="B1020" s="23" t="s">
        <v>1880</v>
      </c>
      <c r="C1020" s="23">
        <v>13296692495</v>
      </c>
      <c r="D1020" s="23"/>
      <c r="E1020" s="23" t="s">
        <v>742</v>
      </c>
      <c r="F1020" s="23">
        <v>1</v>
      </c>
    </row>
    <row r="1021" customHeight="1" spans="1:6">
      <c r="A1021" s="22">
        <v>45906</v>
      </c>
      <c r="B1021" s="23" t="s">
        <v>1881</v>
      </c>
      <c r="C1021" s="23">
        <v>18256817678</v>
      </c>
      <c r="D1021" s="23"/>
      <c r="E1021" s="23" t="s">
        <v>742</v>
      </c>
      <c r="F1021" s="23">
        <v>1</v>
      </c>
    </row>
    <row r="1022" customHeight="1" spans="1:6">
      <c r="A1022" s="22">
        <v>45906</v>
      </c>
      <c r="B1022" s="29" t="s">
        <v>1882</v>
      </c>
      <c r="C1022" s="26">
        <v>15926459190</v>
      </c>
      <c r="D1022" s="23"/>
      <c r="E1022" s="23" t="s">
        <v>753</v>
      </c>
      <c r="F1022" s="23">
        <v>1</v>
      </c>
    </row>
    <row r="1023" customHeight="1" spans="1:6">
      <c r="A1023" s="22">
        <v>45906</v>
      </c>
      <c r="B1023" s="23" t="s">
        <v>1883</v>
      </c>
      <c r="C1023" s="26">
        <v>15926459190</v>
      </c>
      <c r="D1023" s="23"/>
      <c r="E1023" s="23" t="s">
        <v>1884</v>
      </c>
      <c r="F1023" s="23">
        <v>1</v>
      </c>
    </row>
    <row r="1024" customHeight="1" spans="1:6">
      <c r="A1024" s="22">
        <v>45906</v>
      </c>
      <c r="B1024" s="23" t="s">
        <v>1885</v>
      </c>
      <c r="C1024" s="23">
        <v>17335553887</v>
      </c>
      <c r="D1024" s="23"/>
      <c r="E1024" s="23" t="s">
        <v>1886</v>
      </c>
      <c r="F1024" s="23">
        <v>1</v>
      </c>
    </row>
    <row r="1025" customHeight="1" spans="1:6">
      <c r="A1025" s="22">
        <v>45906</v>
      </c>
      <c r="B1025" s="23" t="s">
        <v>1887</v>
      </c>
      <c r="C1025" s="23">
        <v>15685516031</v>
      </c>
      <c r="D1025" s="23"/>
      <c r="E1025" s="23" t="s">
        <v>1884</v>
      </c>
      <c r="F1025" s="23">
        <v>1</v>
      </c>
    </row>
    <row r="1026" customHeight="1" spans="1:6">
      <c r="A1026" s="22">
        <v>45906</v>
      </c>
      <c r="B1026" s="23" t="s">
        <v>1888</v>
      </c>
      <c r="C1026" s="23">
        <v>15507177087</v>
      </c>
      <c r="D1026" s="23"/>
      <c r="E1026" s="23" t="s">
        <v>968</v>
      </c>
      <c r="F1026" s="23">
        <v>1</v>
      </c>
    </row>
    <row r="1027" customHeight="1" spans="1:6">
      <c r="A1027" s="22">
        <v>45907</v>
      </c>
      <c r="B1027" s="23" t="s">
        <v>1889</v>
      </c>
      <c r="C1027" s="23">
        <v>18077078983</v>
      </c>
      <c r="D1027" s="23"/>
      <c r="E1027" s="23" t="s">
        <v>838</v>
      </c>
      <c r="F1027" s="23">
        <v>1</v>
      </c>
    </row>
    <row r="1028" customHeight="1" spans="1:6">
      <c r="A1028" s="22">
        <v>45907</v>
      </c>
      <c r="B1028" s="23" t="s">
        <v>1890</v>
      </c>
      <c r="C1028" s="23">
        <v>13367190079</v>
      </c>
      <c r="D1028" s="23"/>
      <c r="E1028" s="23" t="s">
        <v>838</v>
      </c>
      <c r="F1028" s="23">
        <v>1</v>
      </c>
    </row>
    <row r="1029" customHeight="1" spans="1:6">
      <c r="A1029" s="22">
        <v>45907</v>
      </c>
      <c r="B1029" s="23" t="s">
        <v>1891</v>
      </c>
      <c r="C1029" s="23">
        <v>18987731401</v>
      </c>
      <c r="D1029" s="23"/>
      <c r="E1029" s="23" t="s">
        <v>980</v>
      </c>
      <c r="F1029" s="23">
        <v>1</v>
      </c>
    </row>
    <row r="1030" customHeight="1" spans="1:6">
      <c r="A1030" s="22">
        <v>45907</v>
      </c>
      <c r="B1030" s="25" t="s">
        <v>1892</v>
      </c>
      <c r="C1030" s="25" t="s">
        <v>1893</v>
      </c>
      <c r="D1030" s="23"/>
      <c r="E1030" s="23" t="s">
        <v>797</v>
      </c>
      <c r="F1030" s="23">
        <v>1</v>
      </c>
    </row>
    <row r="1031" customHeight="1" spans="1:6">
      <c r="A1031" s="22">
        <v>45907</v>
      </c>
      <c r="B1031" s="23" t="s">
        <v>1894</v>
      </c>
      <c r="C1031" s="23">
        <v>17809552004</v>
      </c>
      <c r="D1031" s="23"/>
      <c r="E1031" s="23" t="s">
        <v>999</v>
      </c>
      <c r="F1031" s="23">
        <v>1</v>
      </c>
    </row>
    <row r="1032" customHeight="1" spans="1:6">
      <c r="A1032" s="22">
        <v>45907</v>
      </c>
      <c r="B1032" s="29" t="s">
        <v>1895</v>
      </c>
      <c r="C1032" s="26">
        <v>15972469356</v>
      </c>
      <c r="D1032" s="23"/>
      <c r="E1032" s="23" t="s">
        <v>1896</v>
      </c>
      <c r="F1032" s="23">
        <v>1</v>
      </c>
    </row>
    <row r="1033" customHeight="1" spans="1:6">
      <c r="A1033" s="22">
        <v>45907</v>
      </c>
      <c r="B1033" s="29" t="s">
        <v>1897</v>
      </c>
      <c r="C1033" s="26">
        <v>18327130431</v>
      </c>
      <c r="D1033" s="23"/>
      <c r="E1033" s="23" t="s">
        <v>836</v>
      </c>
      <c r="F1033" s="23">
        <v>1</v>
      </c>
    </row>
    <row r="1034" customHeight="1" spans="1:6">
      <c r="A1034" s="22">
        <v>45907</v>
      </c>
      <c r="B1034" s="26" t="s">
        <v>1898</v>
      </c>
      <c r="C1034" s="26">
        <v>18710001095</v>
      </c>
      <c r="E1034" s="23" t="s">
        <v>1868</v>
      </c>
      <c r="F1034" s="23">
        <v>1</v>
      </c>
    </row>
    <row r="1035" customHeight="1" spans="1:6">
      <c r="A1035" s="22">
        <v>45907</v>
      </c>
      <c r="B1035" s="26" t="s">
        <v>1899</v>
      </c>
      <c r="C1035" s="26">
        <v>15773963956</v>
      </c>
      <c r="E1035" s="23" t="s">
        <v>1900</v>
      </c>
      <c r="F1035" s="23">
        <v>1</v>
      </c>
    </row>
    <row r="1036" customHeight="1" spans="1:6">
      <c r="A1036" s="22">
        <v>45907</v>
      </c>
      <c r="B1036" s="26" t="s">
        <v>1901</v>
      </c>
      <c r="C1036" s="26">
        <v>16650636579</v>
      </c>
      <c r="E1036" s="23" t="s">
        <v>1902</v>
      </c>
      <c r="F1036" s="23">
        <v>1</v>
      </c>
    </row>
    <row r="1037" customHeight="1" spans="1:6">
      <c r="A1037" s="22">
        <v>45907</v>
      </c>
      <c r="B1037" s="26" t="s">
        <v>1168</v>
      </c>
      <c r="C1037" s="26">
        <v>13307073426</v>
      </c>
      <c r="E1037" s="23" t="s">
        <v>1903</v>
      </c>
      <c r="F1037" s="23">
        <v>1</v>
      </c>
    </row>
    <row r="1038" customHeight="1" spans="1:6">
      <c r="A1038" s="36">
        <v>45907</v>
      </c>
      <c r="B1038" s="35" t="s">
        <v>1904</v>
      </c>
      <c r="C1038" s="146" t="s">
        <v>1905</v>
      </c>
      <c r="E1038" s="23" t="s">
        <v>1906</v>
      </c>
      <c r="F1038" s="34">
        <v>1</v>
      </c>
    </row>
    <row r="1039" customHeight="1" spans="1:6">
      <c r="A1039" s="22">
        <v>45907</v>
      </c>
      <c r="B1039" s="23" t="s">
        <v>1907</v>
      </c>
      <c r="C1039" s="23">
        <v>15207123732</v>
      </c>
      <c r="D1039" s="23"/>
      <c r="E1039" s="23" t="s">
        <v>838</v>
      </c>
      <c r="F1039" s="23">
        <v>1</v>
      </c>
    </row>
    <row r="1040" customHeight="1" spans="1:6">
      <c r="A1040" s="36">
        <v>45907</v>
      </c>
      <c r="B1040" s="37" t="s">
        <v>1908</v>
      </c>
      <c r="C1040" s="20">
        <v>17873511808</v>
      </c>
      <c r="E1040" s="20" t="s">
        <v>1884</v>
      </c>
      <c r="F1040" s="34">
        <v>1</v>
      </c>
    </row>
    <row r="1041" customHeight="1" spans="1:6">
      <c r="A1041" s="22">
        <v>45907</v>
      </c>
      <c r="B1041" s="23" t="s">
        <v>1909</v>
      </c>
      <c r="C1041" s="23">
        <v>15660112214</v>
      </c>
      <c r="D1041" s="23"/>
      <c r="E1041" s="23" t="s">
        <v>980</v>
      </c>
      <c r="F1041" s="23">
        <v>1</v>
      </c>
    </row>
    <row r="1042" customHeight="1" spans="1:6">
      <c r="A1042" s="22">
        <v>45907</v>
      </c>
      <c r="B1042" s="23" t="s">
        <v>1910</v>
      </c>
      <c r="C1042" s="23">
        <v>15308626513</v>
      </c>
      <c r="D1042" s="23"/>
      <c r="E1042" s="23" t="s">
        <v>968</v>
      </c>
      <c r="F1042" s="23">
        <v>1</v>
      </c>
    </row>
    <row r="1043" customHeight="1" spans="1:6">
      <c r="A1043" s="22">
        <v>45907</v>
      </c>
      <c r="B1043" s="23" t="s">
        <v>1821</v>
      </c>
      <c r="C1043" s="23">
        <v>18727789208</v>
      </c>
      <c r="D1043" s="23"/>
      <c r="E1043" s="23" t="s">
        <v>980</v>
      </c>
      <c r="F1043" s="23">
        <v>1</v>
      </c>
    </row>
    <row r="1044" customHeight="1" spans="1:6">
      <c r="A1044" s="22">
        <v>45907</v>
      </c>
      <c r="B1044" s="23" t="s">
        <v>1911</v>
      </c>
      <c r="C1044" s="23">
        <v>15172879037</v>
      </c>
      <c r="D1044" s="23"/>
      <c r="E1044" s="23" t="s">
        <v>960</v>
      </c>
      <c r="F1044" s="23">
        <v>1</v>
      </c>
    </row>
    <row r="1045" customHeight="1" spans="1:6">
      <c r="A1045" s="22">
        <v>45908</v>
      </c>
      <c r="B1045" s="23" t="s">
        <v>1912</v>
      </c>
      <c r="C1045" s="23">
        <v>15527787219</v>
      </c>
      <c r="D1045" s="23"/>
      <c r="E1045" s="23" t="s">
        <v>797</v>
      </c>
      <c r="F1045" s="23">
        <v>1</v>
      </c>
    </row>
    <row r="1046" customHeight="1" spans="1:6">
      <c r="A1046" s="22">
        <v>45908</v>
      </c>
      <c r="B1046" s="23" t="s">
        <v>1913</v>
      </c>
      <c r="C1046" s="23">
        <v>13018001757</v>
      </c>
      <c r="D1046" s="23"/>
      <c r="E1046" s="23" t="s">
        <v>940</v>
      </c>
      <c r="F1046" s="23">
        <v>1</v>
      </c>
    </row>
    <row r="1047" customHeight="1" spans="1:6">
      <c r="A1047" s="22">
        <v>45908</v>
      </c>
      <c r="B1047" s="23" t="s">
        <v>1914</v>
      </c>
      <c r="C1047" s="23">
        <v>18827293985</v>
      </c>
      <c r="D1047" s="23"/>
      <c r="E1047" s="23" t="s">
        <v>797</v>
      </c>
      <c r="F1047" s="23">
        <v>1</v>
      </c>
    </row>
    <row r="1048" customHeight="1" spans="1:6">
      <c r="A1048" s="22">
        <v>45908</v>
      </c>
      <c r="B1048" s="23" t="s">
        <v>1915</v>
      </c>
      <c r="C1048" s="23">
        <v>15391515957</v>
      </c>
      <c r="D1048" s="23"/>
      <c r="E1048" s="23" t="s">
        <v>940</v>
      </c>
      <c r="F1048" s="23">
        <v>1</v>
      </c>
    </row>
    <row r="1049" customHeight="1" spans="1:6">
      <c r="A1049" s="22">
        <v>45908</v>
      </c>
      <c r="B1049" s="23" t="s">
        <v>1916</v>
      </c>
      <c r="C1049" s="23">
        <v>18071049957</v>
      </c>
      <c r="D1049" s="23"/>
      <c r="E1049" s="23" t="s">
        <v>968</v>
      </c>
      <c r="F1049" s="23">
        <v>1</v>
      </c>
    </row>
    <row r="1050" customHeight="1" spans="1:6">
      <c r="A1050" s="22">
        <v>45908</v>
      </c>
      <c r="B1050" s="23" t="s">
        <v>1917</v>
      </c>
      <c r="C1050" s="23">
        <v>18313404547</v>
      </c>
      <c r="D1050" s="23"/>
      <c r="E1050" s="23" t="s">
        <v>1918</v>
      </c>
      <c r="F1050" s="23">
        <v>3</v>
      </c>
    </row>
    <row r="1051" customHeight="1" spans="1:6">
      <c r="A1051" s="22">
        <v>45908</v>
      </c>
      <c r="B1051" s="23" t="s">
        <v>1919</v>
      </c>
      <c r="C1051" s="23">
        <v>17614795710</v>
      </c>
      <c r="D1051" s="23"/>
      <c r="E1051" s="23" t="s">
        <v>1920</v>
      </c>
      <c r="F1051" s="23">
        <v>3</v>
      </c>
    </row>
    <row r="1052" customHeight="1" spans="1:6">
      <c r="A1052" s="22">
        <v>45908</v>
      </c>
      <c r="B1052" s="23" t="s">
        <v>1921</v>
      </c>
      <c r="C1052" s="23">
        <v>13865457692</v>
      </c>
      <c r="D1052" s="23"/>
      <c r="E1052" s="23" t="s">
        <v>829</v>
      </c>
      <c r="F1052" s="23">
        <v>1</v>
      </c>
    </row>
    <row r="1053" customHeight="1" spans="1:6">
      <c r="A1053" s="22">
        <v>45908</v>
      </c>
      <c r="B1053" s="23" t="s">
        <v>1922</v>
      </c>
      <c r="C1053" s="23">
        <v>17671398675</v>
      </c>
      <c r="D1053" s="23"/>
      <c r="E1053" s="23" t="s">
        <v>742</v>
      </c>
      <c r="F1053" s="23">
        <v>1</v>
      </c>
    </row>
    <row r="1054" customHeight="1" spans="1:6">
      <c r="A1054" s="22">
        <v>45908</v>
      </c>
      <c r="B1054" s="23" t="s">
        <v>1923</v>
      </c>
      <c r="C1054" s="23">
        <v>15073343709</v>
      </c>
      <c r="D1054" s="23"/>
      <c r="E1054" s="23" t="s">
        <v>876</v>
      </c>
      <c r="F1054" s="23">
        <v>1</v>
      </c>
    </row>
    <row r="1055" customHeight="1" spans="1:6">
      <c r="A1055" s="22">
        <v>45908</v>
      </c>
      <c r="B1055" s="23" t="s">
        <v>1924</v>
      </c>
      <c r="C1055" s="23">
        <v>13072705130</v>
      </c>
      <c r="D1055" s="23"/>
      <c r="E1055" s="23" t="s">
        <v>1827</v>
      </c>
      <c r="F1055" s="23">
        <v>1</v>
      </c>
    </row>
    <row r="1056" customHeight="1" spans="1:6">
      <c r="A1056" s="22">
        <v>45908</v>
      </c>
      <c r="B1056" s="23" t="s">
        <v>1925</v>
      </c>
      <c r="C1056" s="23">
        <v>15623592652</v>
      </c>
      <c r="D1056" s="23"/>
      <c r="E1056" s="23" t="s">
        <v>960</v>
      </c>
      <c r="F1056" s="23">
        <v>1</v>
      </c>
    </row>
    <row r="1057" customHeight="1" spans="1:6">
      <c r="A1057" s="22">
        <v>45908</v>
      </c>
      <c r="B1057" s="23" t="s">
        <v>1926</v>
      </c>
      <c r="C1057" s="23">
        <v>17771988663</v>
      </c>
      <c r="D1057" s="23"/>
      <c r="E1057" s="23" t="s">
        <v>1549</v>
      </c>
      <c r="F1057" s="23">
        <v>1</v>
      </c>
    </row>
    <row r="1058" customHeight="1" spans="1:6">
      <c r="A1058" s="22">
        <v>45908</v>
      </c>
      <c r="B1058" s="23" t="s">
        <v>1927</v>
      </c>
      <c r="C1058" s="144" t="s">
        <v>1928</v>
      </c>
      <c r="D1058" s="23"/>
      <c r="E1058" s="23" t="s">
        <v>1884</v>
      </c>
      <c r="F1058" s="23">
        <v>1</v>
      </c>
    </row>
    <row r="1059" customHeight="1" spans="1:6">
      <c r="A1059" s="22">
        <v>45908</v>
      </c>
      <c r="B1059" s="23" t="s">
        <v>1929</v>
      </c>
      <c r="C1059" s="23">
        <v>13756715562</v>
      </c>
      <c r="D1059" s="23"/>
      <c r="E1059" s="23" t="s">
        <v>797</v>
      </c>
      <c r="F1059" s="23">
        <v>1</v>
      </c>
    </row>
    <row r="1060" customHeight="1" spans="1:6">
      <c r="A1060" s="22">
        <v>45908</v>
      </c>
      <c r="B1060" s="23" t="s">
        <v>1930</v>
      </c>
      <c r="C1060" s="23">
        <v>15349231716</v>
      </c>
      <c r="D1060" s="23"/>
      <c r="E1060" s="23" t="s">
        <v>742</v>
      </c>
      <c r="F1060" s="23">
        <v>1</v>
      </c>
    </row>
    <row r="1061" customHeight="1" spans="1:6">
      <c r="A1061" s="22">
        <v>45908</v>
      </c>
      <c r="B1061" s="23" t="s">
        <v>1931</v>
      </c>
      <c r="C1061" s="23">
        <v>18847246636</v>
      </c>
      <c r="D1061" s="23"/>
      <c r="E1061" s="23" t="s">
        <v>742</v>
      </c>
      <c r="F1061" s="23">
        <v>1</v>
      </c>
    </row>
    <row r="1062" customHeight="1" spans="1:6">
      <c r="A1062" s="22">
        <v>45908</v>
      </c>
      <c r="B1062" s="26" t="s">
        <v>1932</v>
      </c>
      <c r="C1062" s="26">
        <v>15623958909</v>
      </c>
      <c r="D1062" s="23"/>
      <c r="E1062" s="23" t="s">
        <v>838</v>
      </c>
      <c r="F1062" s="23">
        <v>1</v>
      </c>
    </row>
    <row r="1063" customHeight="1" spans="1:6">
      <c r="A1063" s="22">
        <v>45909</v>
      </c>
      <c r="B1063" s="23" t="s">
        <v>1933</v>
      </c>
      <c r="C1063" s="23">
        <v>13094133966</v>
      </c>
      <c r="D1063" s="23"/>
      <c r="E1063" s="23" t="s">
        <v>960</v>
      </c>
      <c r="F1063" s="23">
        <v>1</v>
      </c>
    </row>
    <row r="1064" customHeight="1" spans="1:6">
      <c r="A1064" s="22">
        <v>45909</v>
      </c>
      <c r="B1064" s="23" t="s">
        <v>1934</v>
      </c>
      <c r="C1064" s="23">
        <v>18271880250</v>
      </c>
      <c r="D1064" s="23"/>
      <c r="E1064" s="23" t="s">
        <v>800</v>
      </c>
      <c r="F1064" s="23">
        <v>1</v>
      </c>
    </row>
    <row r="1065" customHeight="1" spans="1:6">
      <c r="A1065" s="22">
        <v>45909</v>
      </c>
      <c r="B1065" s="23" t="s">
        <v>1935</v>
      </c>
      <c r="C1065" s="23">
        <v>15797158130</v>
      </c>
      <c r="D1065" s="23"/>
      <c r="E1065" s="23" t="s">
        <v>838</v>
      </c>
      <c r="F1065" s="23">
        <v>1</v>
      </c>
    </row>
    <row r="1066" customHeight="1" spans="1:6">
      <c r="A1066" s="22">
        <v>45909</v>
      </c>
      <c r="B1066" s="23" t="s">
        <v>1936</v>
      </c>
      <c r="C1066" s="23">
        <v>18171081103</v>
      </c>
      <c r="D1066" s="23"/>
      <c r="E1066" s="23" t="s">
        <v>940</v>
      </c>
      <c r="F1066" s="23">
        <v>1</v>
      </c>
    </row>
    <row r="1067" customHeight="1" spans="1:6">
      <c r="A1067" s="22">
        <v>45909</v>
      </c>
      <c r="B1067" s="23" t="s">
        <v>1937</v>
      </c>
      <c r="C1067" s="23">
        <v>18808356082</v>
      </c>
      <c r="D1067" s="23"/>
      <c r="E1067" s="23" t="s">
        <v>831</v>
      </c>
      <c r="F1067" s="23">
        <v>1</v>
      </c>
    </row>
    <row r="1068" customHeight="1" spans="1:6">
      <c r="A1068" s="22">
        <v>45909</v>
      </c>
      <c r="B1068" s="23" t="s">
        <v>1938</v>
      </c>
      <c r="C1068" s="23">
        <v>18586071528</v>
      </c>
      <c r="D1068" s="23"/>
      <c r="E1068" s="23" t="s">
        <v>800</v>
      </c>
      <c r="F1068" s="23">
        <v>1</v>
      </c>
    </row>
    <row r="1069" customHeight="1" spans="1:6">
      <c r="A1069" s="22">
        <v>45909</v>
      </c>
      <c r="B1069" s="23" t="s">
        <v>1939</v>
      </c>
      <c r="C1069" s="23">
        <v>13476527999</v>
      </c>
      <c r="D1069" s="23"/>
      <c r="E1069" s="23" t="s">
        <v>800</v>
      </c>
      <c r="F1069" s="23">
        <v>1</v>
      </c>
    </row>
    <row r="1070" customHeight="1" spans="1:6">
      <c r="A1070" s="22">
        <v>45909</v>
      </c>
      <c r="B1070" s="23" t="s">
        <v>1940</v>
      </c>
      <c r="C1070" s="23">
        <v>15540435836</v>
      </c>
      <c r="D1070" s="23"/>
      <c r="E1070" s="23" t="s">
        <v>960</v>
      </c>
      <c r="F1070" s="23">
        <v>1</v>
      </c>
    </row>
    <row r="1071" customHeight="1" spans="1:6">
      <c r="A1071" s="22">
        <v>45909</v>
      </c>
      <c r="B1071" s="23" t="s">
        <v>1232</v>
      </c>
      <c r="C1071" s="23">
        <v>18747679391</v>
      </c>
      <c r="D1071" s="23"/>
      <c r="E1071" s="23" t="s">
        <v>980</v>
      </c>
      <c r="F1071" s="23">
        <v>1</v>
      </c>
    </row>
    <row r="1072" customHeight="1" spans="1:6">
      <c r="A1072" s="22">
        <v>45909</v>
      </c>
      <c r="B1072" s="23" t="s">
        <v>1941</v>
      </c>
      <c r="C1072" s="23">
        <v>13006390130</v>
      </c>
      <c r="D1072" s="23"/>
      <c r="E1072" s="23" t="s">
        <v>968</v>
      </c>
      <c r="F1072" s="23">
        <v>1</v>
      </c>
    </row>
    <row r="1073" customHeight="1" spans="1:6">
      <c r="A1073" s="22">
        <v>45909</v>
      </c>
      <c r="B1073" s="23" t="s">
        <v>1942</v>
      </c>
      <c r="C1073" s="23">
        <v>18978464221</v>
      </c>
      <c r="D1073" s="23"/>
      <c r="E1073" s="23" t="s">
        <v>980</v>
      </c>
      <c r="F1073" s="23">
        <v>1</v>
      </c>
    </row>
    <row r="1074" customHeight="1" spans="1:6">
      <c r="A1074" s="22">
        <v>45909</v>
      </c>
      <c r="B1074" s="23" t="s">
        <v>1940</v>
      </c>
      <c r="C1074" s="23">
        <v>15540435836</v>
      </c>
      <c r="D1074" s="23"/>
      <c r="E1074" s="23" t="s">
        <v>1076</v>
      </c>
      <c r="F1074" s="23">
        <v>2</v>
      </c>
    </row>
    <row r="1075" customHeight="1" spans="1:6">
      <c r="A1075" s="22">
        <v>45909</v>
      </c>
      <c r="B1075" s="23" t="s">
        <v>1943</v>
      </c>
      <c r="C1075" s="23">
        <v>18908270536</v>
      </c>
      <c r="D1075" s="23"/>
      <c r="E1075" s="23" t="s">
        <v>1827</v>
      </c>
      <c r="F1075" s="23">
        <v>1</v>
      </c>
    </row>
    <row r="1076" customHeight="1" spans="1:6">
      <c r="A1076" s="22">
        <v>45909</v>
      </c>
      <c r="B1076" s="23" t="s">
        <v>1944</v>
      </c>
      <c r="C1076" s="23">
        <v>13327104327</v>
      </c>
      <c r="D1076" s="23"/>
      <c r="E1076" s="23" t="s">
        <v>835</v>
      </c>
      <c r="F1076" s="23">
        <v>1</v>
      </c>
    </row>
    <row r="1077" customHeight="1" spans="1:6">
      <c r="A1077" s="22">
        <v>45909</v>
      </c>
      <c r="B1077" s="23" t="s">
        <v>1945</v>
      </c>
      <c r="C1077" s="23">
        <v>19078572636</v>
      </c>
      <c r="D1077" s="23"/>
      <c r="E1077" s="23" t="s">
        <v>835</v>
      </c>
      <c r="F1077" s="23">
        <v>1</v>
      </c>
    </row>
    <row r="1078" customHeight="1" spans="1:6">
      <c r="A1078" s="22">
        <v>45909</v>
      </c>
      <c r="B1078" s="23" t="s">
        <v>1946</v>
      </c>
      <c r="C1078" s="23">
        <v>15008797407</v>
      </c>
      <c r="D1078" s="23"/>
      <c r="E1078" s="23" t="s">
        <v>1827</v>
      </c>
      <c r="F1078" s="23">
        <v>1</v>
      </c>
    </row>
    <row r="1079" customHeight="1" spans="1:6">
      <c r="A1079" s="22">
        <v>45909</v>
      </c>
      <c r="B1079" s="23" t="s">
        <v>1947</v>
      </c>
      <c r="C1079" s="23">
        <v>18727407475</v>
      </c>
      <c r="D1079" s="23"/>
      <c r="E1079" s="23" t="s">
        <v>960</v>
      </c>
      <c r="F1079" s="23">
        <v>1</v>
      </c>
    </row>
    <row r="1080" customHeight="1" spans="1:6">
      <c r="A1080" s="22">
        <v>45909</v>
      </c>
      <c r="B1080" s="23" t="s">
        <v>1948</v>
      </c>
      <c r="C1080" s="23">
        <v>15827758432</v>
      </c>
      <c r="D1080" s="23"/>
      <c r="E1080" s="23" t="s">
        <v>960</v>
      </c>
      <c r="F1080" s="23">
        <v>1</v>
      </c>
    </row>
    <row r="1081" customHeight="1" spans="1:6">
      <c r="A1081" s="22">
        <v>45909</v>
      </c>
      <c r="B1081" s="23" t="s">
        <v>1949</v>
      </c>
      <c r="C1081" s="23">
        <v>15754959519</v>
      </c>
      <c r="D1081" s="23"/>
      <c r="E1081" s="23" t="s">
        <v>1884</v>
      </c>
      <c r="F1081" s="23">
        <v>1</v>
      </c>
    </row>
    <row r="1082" customHeight="1" spans="1:6">
      <c r="A1082" s="22">
        <v>45909</v>
      </c>
      <c r="B1082" s="23" t="s">
        <v>1950</v>
      </c>
      <c r="C1082" s="23">
        <v>13971163005</v>
      </c>
      <c r="D1082" s="23"/>
      <c r="E1082" s="23" t="s">
        <v>838</v>
      </c>
      <c r="F1082" s="23">
        <v>1</v>
      </c>
    </row>
    <row r="1083" customHeight="1" spans="1:6">
      <c r="A1083" s="22">
        <v>45909</v>
      </c>
      <c r="B1083" s="23" t="s">
        <v>1951</v>
      </c>
      <c r="C1083" s="23">
        <v>15811023788</v>
      </c>
      <c r="D1083" s="23"/>
      <c r="E1083" s="23" t="s">
        <v>1952</v>
      </c>
      <c r="F1083" s="23">
        <v>1</v>
      </c>
    </row>
    <row r="1084" customHeight="1" spans="1:6">
      <c r="A1084" s="22">
        <v>45910</v>
      </c>
      <c r="B1084" s="23" t="s">
        <v>1953</v>
      </c>
      <c r="C1084" s="23">
        <v>15027196980</v>
      </c>
      <c r="D1084" s="23"/>
      <c r="E1084" s="23" t="s">
        <v>1954</v>
      </c>
      <c r="F1084" s="23">
        <v>3</v>
      </c>
    </row>
    <row r="1085" customHeight="1" spans="1:6">
      <c r="A1085" s="22">
        <v>45910</v>
      </c>
      <c r="B1085" s="23" t="s">
        <v>1955</v>
      </c>
      <c r="C1085" s="23">
        <v>13016417377</v>
      </c>
      <c r="D1085" s="23"/>
      <c r="E1085" s="23" t="s">
        <v>968</v>
      </c>
      <c r="F1085" s="23">
        <v>1</v>
      </c>
    </row>
    <row r="1086" customHeight="1" spans="1:6">
      <c r="A1086" s="22">
        <v>45910</v>
      </c>
      <c r="B1086" s="23" t="s">
        <v>1956</v>
      </c>
      <c r="C1086" s="23">
        <v>17815104483</v>
      </c>
      <c r="D1086" s="23"/>
      <c r="E1086" s="23" t="s">
        <v>831</v>
      </c>
      <c r="F1086" s="23">
        <v>1</v>
      </c>
    </row>
    <row r="1087" customHeight="1" spans="1:6">
      <c r="A1087" s="22">
        <v>45910</v>
      </c>
      <c r="B1087" s="23" t="s">
        <v>1957</v>
      </c>
      <c r="C1087" s="23">
        <v>13972413897</v>
      </c>
      <c r="D1087" s="23"/>
      <c r="E1087" s="23" t="s">
        <v>1827</v>
      </c>
      <c r="F1087" s="23">
        <v>1</v>
      </c>
    </row>
    <row r="1088" customHeight="1" spans="1:6">
      <c r="A1088" s="22">
        <v>45910</v>
      </c>
      <c r="B1088" s="23" t="s">
        <v>1958</v>
      </c>
      <c r="C1088" s="23">
        <v>13871150902</v>
      </c>
      <c r="D1088" s="23"/>
      <c r="E1088" s="23" t="s">
        <v>753</v>
      </c>
      <c r="F1088" s="23">
        <v>1</v>
      </c>
    </row>
    <row r="1089" customHeight="1" spans="1:6">
      <c r="A1089" s="22">
        <v>45910</v>
      </c>
      <c r="B1089" s="23" t="s">
        <v>1959</v>
      </c>
      <c r="C1089" s="23">
        <v>15337220719</v>
      </c>
      <c r="D1089" s="23"/>
      <c r="E1089" s="23" t="s">
        <v>980</v>
      </c>
      <c r="F1089" s="23">
        <v>1</v>
      </c>
    </row>
    <row r="1090" customHeight="1" spans="1:6">
      <c r="A1090" s="22">
        <v>45910</v>
      </c>
      <c r="B1090" s="23" t="s">
        <v>1960</v>
      </c>
      <c r="C1090" s="23">
        <v>19215578719</v>
      </c>
      <c r="D1090" s="23"/>
      <c r="E1090" s="23" t="s">
        <v>831</v>
      </c>
      <c r="F1090" s="23">
        <v>1</v>
      </c>
    </row>
    <row r="1091" customHeight="1" spans="1:6">
      <c r="A1091" s="22">
        <v>45910</v>
      </c>
      <c r="B1091" s="23" t="s">
        <v>1961</v>
      </c>
      <c r="C1091" s="23">
        <v>17383565205</v>
      </c>
      <c r="D1091" s="23"/>
      <c r="E1091" s="23" t="s">
        <v>800</v>
      </c>
      <c r="F1091" s="23">
        <v>1</v>
      </c>
    </row>
    <row r="1092" customHeight="1" spans="1:6">
      <c r="A1092" s="22">
        <v>45910</v>
      </c>
      <c r="B1092" s="23" t="s">
        <v>1962</v>
      </c>
      <c r="C1092" s="23">
        <v>13034451609</v>
      </c>
      <c r="D1092" s="23"/>
      <c r="E1092" s="23" t="s">
        <v>1963</v>
      </c>
      <c r="F1092" s="23">
        <v>1</v>
      </c>
    </row>
    <row r="1093" customHeight="1" spans="1:6">
      <c r="A1093" s="22">
        <v>45910</v>
      </c>
      <c r="B1093" s="23" t="s">
        <v>1964</v>
      </c>
      <c r="C1093" s="23">
        <v>19323625827</v>
      </c>
      <c r="D1093" s="23"/>
      <c r="E1093" s="23" t="s">
        <v>742</v>
      </c>
      <c r="F1093" s="23">
        <v>1</v>
      </c>
    </row>
    <row r="1094" customHeight="1" spans="1:6">
      <c r="A1094" s="22">
        <v>45910</v>
      </c>
      <c r="B1094" s="23" t="s">
        <v>1965</v>
      </c>
      <c r="C1094" s="23">
        <v>18793038557</v>
      </c>
      <c r="D1094" s="23"/>
      <c r="E1094" s="23" t="s">
        <v>1966</v>
      </c>
      <c r="F1094" s="23">
        <v>1</v>
      </c>
    </row>
    <row r="1095" customHeight="1" spans="1:6">
      <c r="A1095" s="22">
        <v>45910</v>
      </c>
      <c r="B1095" s="23" t="s">
        <v>1967</v>
      </c>
      <c r="C1095" s="23">
        <v>15527695176</v>
      </c>
      <c r="D1095" s="23"/>
      <c r="E1095" s="23" t="s">
        <v>838</v>
      </c>
      <c r="F1095" s="23">
        <v>1</v>
      </c>
    </row>
    <row r="1096" customHeight="1" spans="1:6">
      <c r="A1096" s="22">
        <v>45910</v>
      </c>
      <c r="B1096" s="23" t="s">
        <v>1968</v>
      </c>
      <c r="C1096" s="23">
        <v>17747273865</v>
      </c>
      <c r="D1096" s="23"/>
      <c r="E1096" s="23" t="s">
        <v>835</v>
      </c>
      <c r="F1096" s="23">
        <v>1</v>
      </c>
    </row>
    <row r="1097" customHeight="1" spans="1:6">
      <c r="A1097" s="22">
        <v>45910</v>
      </c>
      <c r="B1097" s="23" t="s">
        <v>1923</v>
      </c>
      <c r="C1097" s="23">
        <v>15073343709</v>
      </c>
      <c r="D1097" s="23"/>
      <c r="E1097" s="23" t="s">
        <v>831</v>
      </c>
      <c r="F1097" s="23">
        <v>1</v>
      </c>
    </row>
    <row r="1098" customHeight="1" spans="1:6">
      <c r="A1098" s="22">
        <v>45910</v>
      </c>
      <c r="B1098" s="23" t="s">
        <v>1969</v>
      </c>
      <c r="C1098" s="23">
        <v>17655992516</v>
      </c>
      <c r="D1098" s="23"/>
      <c r="E1098" s="23" t="s">
        <v>753</v>
      </c>
      <c r="F1098" s="23">
        <v>1</v>
      </c>
    </row>
    <row r="1099" customHeight="1" spans="1:6">
      <c r="A1099" s="22">
        <v>45910</v>
      </c>
      <c r="B1099" s="23" t="s">
        <v>1970</v>
      </c>
      <c r="C1099" s="23">
        <v>13873632658</v>
      </c>
      <c r="D1099" s="23"/>
      <c r="E1099" s="23" t="s">
        <v>968</v>
      </c>
      <c r="F1099" s="23">
        <v>1</v>
      </c>
    </row>
    <row r="1100" customHeight="1" spans="1:6">
      <c r="A1100" s="22">
        <v>45910</v>
      </c>
      <c r="B1100" s="23" t="s">
        <v>1971</v>
      </c>
      <c r="C1100" s="23">
        <v>13231395600</v>
      </c>
      <c r="D1100" s="23"/>
      <c r="E1100" s="23" t="s">
        <v>800</v>
      </c>
      <c r="F1100" s="23">
        <v>1</v>
      </c>
    </row>
    <row r="1101" customHeight="1" spans="1:6">
      <c r="A1101" s="22">
        <v>45910</v>
      </c>
      <c r="B1101" s="23" t="s">
        <v>1972</v>
      </c>
      <c r="C1101" s="23">
        <v>15002730093</v>
      </c>
      <c r="D1101" s="23"/>
      <c r="E1101" s="23" t="s">
        <v>980</v>
      </c>
      <c r="F1101" s="23">
        <v>1</v>
      </c>
    </row>
    <row r="1102" customHeight="1" spans="1:6">
      <c r="A1102" s="22">
        <v>45910</v>
      </c>
      <c r="B1102" s="23" t="s">
        <v>1973</v>
      </c>
      <c r="C1102" s="23">
        <v>13409306577</v>
      </c>
      <c r="D1102" s="23"/>
      <c r="E1102" s="23" t="s">
        <v>800</v>
      </c>
      <c r="F1102" s="23">
        <v>1</v>
      </c>
    </row>
    <row r="1103" customHeight="1" spans="1:6">
      <c r="A1103" s="22">
        <v>45910</v>
      </c>
      <c r="B1103" s="23" t="s">
        <v>1974</v>
      </c>
      <c r="C1103" s="23">
        <v>13470265462</v>
      </c>
      <c r="D1103" s="23"/>
      <c r="E1103" s="23" t="s">
        <v>876</v>
      </c>
      <c r="F1103" s="23">
        <v>1</v>
      </c>
    </row>
    <row r="1104" customHeight="1" spans="1:6">
      <c r="A1104" s="22">
        <v>45910</v>
      </c>
      <c r="B1104" s="23" t="s">
        <v>1975</v>
      </c>
      <c r="C1104" s="23">
        <v>13072732098</v>
      </c>
      <c r="D1104" s="23"/>
      <c r="E1104" s="23" t="s">
        <v>1976</v>
      </c>
      <c r="F1104" s="23">
        <v>3</v>
      </c>
    </row>
    <row r="1105" customHeight="1" spans="1:6">
      <c r="A1105" s="22">
        <v>45911</v>
      </c>
      <c r="B1105" s="29" t="s">
        <v>1977</v>
      </c>
      <c r="C1105" s="26">
        <v>13974415498</v>
      </c>
      <c r="D1105" s="23"/>
      <c r="E1105" s="23" t="s">
        <v>829</v>
      </c>
      <c r="F1105" s="23">
        <v>1</v>
      </c>
    </row>
    <row r="1106" customHeight="1" spans="1:6">
      <c r="A1106" s="22">
        <v>45911</v>
      </c>
      <c r="B1106" s="26" t="s">
        <v>1978</v>
      </c>
      <c r="C1106" s="26">
        <v>18077765576</v>
      </c>
      <c r="D1106" s="23"/>
      <c r="E1106" s="23" t="s">
        <v>960</v>
      </c>
      <c r="F1106" s="23">
        <v>1</v>
      </c>
    </row>
    <row r="1107" customHeight="1" spans="1:6">
      <c r="A1107" s="22">
        <v>45911</v>
      </c>
      <c r="B1107" s="23" t="s">
        <v>1979</v>
      </c>
      <c r="C1107" s="23">
        <v>15527856707</v>
      </c>
      <c r="D1107" s="23"/>
      <c r="E1107" s="23" t="s">
        <v>1980</v>
      </c>
      <c r="F1107" s="23">
        <v>3</v>
      </c>
    </row>
    <row r="1108" customHeight="1" spans="1:6">
      <c r="A1108" s="22">
        <v>45911</v>
      </c>
      <c r="B1108" s="23" t="s">
        <v>1981</v>
      </c>
      <c r="C1108" s="23">
        <v>17892761751</v>
      </c>
      <c r="D1108" s="23"/>
      <c r="E1108" s="23" t="s">
        <v>797</v>
      </c>
      <c r="F1108" s="23">
        <v>1</v>
      </c>
    </row>
    <row r="1109" customHeight="1" spans="1:6">
      <c r="A1109" s="22">
        <v>45911</v>
      </c>
      <c r="B1109" s="23" t="s">
        <v>1982</v>
      </c>
      <c r="C1109" s="23">
        <v>19108924738</v>
      </c>
      <c r="D1109" s="23"/>
      <c r="E1109" s="23" t="s">
        <v>797</v>
      </c>
      <c r="F1109" s="23">
        <v>1</v>
      </c>
    </row>
    <row r="1110" customHeight="1" spans="1:6">
      <c r="A1110" s="22">
        <v>45911</v>
      </c>
      <c r="B1110" s="23" t="s">
        <v>1983</v>
      </c>
      <c r="C1110" s="23">
        <v>13457805292</v>
      </c>
      <c r="D1110" s="23"/>
      <c r="E1110" s="23" t="s">
        <v>940</v>
      </c>
      <c r="F1110" s="23">
        <v>1</v>
      </c>
    </row>
    <row r="1111" customHeight="1" spans="1:6">
      <c r="A1111" s="22">
        <v>45911</v>
      </c>
      <c r="B1111" s="23" t="s">
        <v>1984</v>
      </c>
      <c r="C1111" s="23">
        <v>18356014884</v>
      </c>
      <c r="D1111" s="23"/>
      <c r="E1111" s="23" t="s">
        <v>1985</v>
      </c>
      <c r="F1111" s="23">
        <v>1</v>
      </c>
    </row>
    <row r="1112" customHeight="1" spans="1:6">
      <c r="A1112" s="22">
        <v>45911</v>
      </c>
      <c r="B1112" s="23" t="s">
        <v>1986</v>
      </c>
      <c r="C1112" s="23">
        <v>13035132860</v>
      </c>
      <c r="D1112" s="23"/>
      <c r="E1112" s="23" t="s">
        <v>756</v>
      </c>
      <c r="F1112" s="23">
        <v>1</v>
      </c>
    </row>
    <row r="1113" customHeight="1" spans="1:6">
      <c r="A1113" s="22">
        <v>45911</v>
      </c>
      <c r="B1113" s="23" t="s">
        <v>1987</v>
      </c>
      <c r="C1113" s="23">
        <v>13034451609</v>
      </c>
      <c r="D1113" s="23"/>
      <c r="E1113" s="23" t="s">
        <v>1988</v>
      </c>
      <c r="F1113" s="23">
        <v>1</v>
      </c>
    </row>
    <row r="1114" customHeight="1" spans="1:6">
      <c r="A1114" s="22">
        <v>45911</v>
      </c>
      <c r="B1114" s="23" t="s">
        <v>1989</v>
      </c>
      <c r="C1114" s="23">
        <v>15821273421</v>
      </c>
      <c r="D1114" s="23"/>
      <c r="E1114" s="23" t="s">
        <v>960</v>
      </c>
      <c r="F1114" s="23">
        <v>1</v>
      </c>
    </row>
    <row r="1115" customHeight="1" spans="1:6">
      <c r="A1115" s="22">
        <v>45911</v>
      </c>
      <c r="B1115" s="23" t="s">
        <v>1990</v>
      </c>
      <c r="C1115" s="23">
        <v>18976925112</v>
      </c>
      <c r="D1115" s="23"/>
      <c r="E1115" s="23" t="s">
        <v>831</v>
      </c>
      <c r="F1115" s="23">
        <v>1</v>
      </c>
    </row>
    <row r="1116" customHeight="1" spans="1:6">
      <c r="A1116" s="22">
        <v>45911</v>
      </c>
      <c r="B1116" s="23" t="s">
        <v>1991</v>
      </c>
      <c r="C1116" s="23">
        <v>17309568582</v>
      </c>
      <c r="D1116" s="23"/>
      <c r="E1116" s="23" t="s">
        <v>940</v>
      </c>
      <c r="F1116" s="23">
        <v>1</v>
      </c>
    </row>
    <row r="1117" customHeight="1" spans="1:6">
      <c r="A1117" s="22">
        <v>45911</v>
      </c>
      <c r="B1117" s="23" t="s">
        <v>1992</v>
      </c>
      <c r="C1117" s="23">
        <v>15563761516</v>
      </c>
      <c r="D1117" s="23"/>
      <c r="E1117" s="23" t="s">
        <v>1884</v>
      </c>
      <c r="F1117" s="23">
        <v>1</v>
      </c>
    </row>
    <row r="1118" customHeight="1" spans="1:6">
      <c r="A1118" s="22">
        <v>45911</v>
      </c>
      <c r="B1118" s="23" t="s">
        <v>1993</v>
      </c>
      <c r="C1118" s="23">
        <v>15971137318</v>
      </c>
      <c r="D1118" s="23"/>
      <c r="E1118" s="23" t="s">
        <v>756</v>
      </c>
      <c r="F1118" s="23">
        <v>1</v>
      </c>
    </row>
    <row r="1119" customHeight="1" spans="1:6">
      <c r="A1119" s="22">
        <v>45911</v>
      </c>
      <c r="B1119" s="23" t="s">
        <v>1994</v>
      </c>
      <c r="C1119" s="23">
        <v>18504957137</v>
      </c>
      <c r="D1119" s="23"/>
      <c r="E1119" s="23" t="s">
        <v>940</v>
      </c>
      <c r="F1119" s="23">
        <v>1</v>
      </c>
    </row>
    <row r="1120" customHeight="1" spans="1:6">
      <c r="A1120" s="22">
        <v>45911</v>
      </c>
      <c r="B1120" s="23" t="s">
        <v>1619</v>
      </c>
      <c r="C1120" s="23">
        <v>13590596708</v>
      </c>
      <c r="D1120" s="23"/>
      <c r="E1120" s="23" t="s">
        <v>968</v>
      </c>
      <c r="F1120" s="23">
        <v>1</v>
      </c>
    </row>
    <row r="1121" customHeight="1" spans="1:6">
      <c r="A1121" s="22">
        <v>45911</v>
      </c>
      <c r="B1121" s="23" t="s">
        <v>1995</v>
      </c>
      <c r="C1121" s="23">
        <v>17795034289</v>
      </c>
      <c r="D1121" s="23"/>
      <c r="E1121" s="23" t="s">
        <v>838</v>
      </c>
      <c r="F1121" s="23">
        <v>1</v>
      </c>
    </row>
    <row r="1122" customHeight="1" spans="1:6">
      <c r="A1122" s="22">
        <v>45911</v>
      </c>
      <c r="B1122" s="23" t="s">
        <v>1996</v>
      </c>
      <c r="C1122" s="23">
        <v>15016517094</v>
      </c>
      <c r="D1122" s="23"/>
      <c r="E1122" s="23" t="s">
        <v>960</v>
      </c>
      <c r="F1122" s="23">
        <v>1</v>
      </c>
    </row>
    <row r="1123" customHeight="1" spans="1:6">
      <c r="A1123" s="22">
        <v>45912</v>
      </c>
      <c r="B1123" s="26" t="s">
        <v>1997</v>
      </c>
      <c r="C1123" s="26">
        <v>18171490114</v>
      </c>
      <c r="D1123" s="23"/>
      <c r="E1123" s="23" t="s">
        <v>1827</v>
      </c>
      <c r="F1123" s="23">
        <v>1</v>
      </c>
    </row>
    <row r="1124" customHeight="1" spans="1:6">
      <c r="A1124" s="22">
        <v>45912</v>
      </c>
      <c r="B1124" s="23" t="s">
        <v>1746</v>
      </c>
      <c r="C1124" s="23">
        <v>15327310422</v>
      </c>
      <c r="D1124" s="23"/>
      <c r="E1124" s="23" t="s">
        <v>960</v>
      </c>
      <c r="F1124" s="23">
        <v>1</v>
      </c>
    </row>
    <row r="1125" customHeight="1" spans="1:6">
      <c r="A1125" s="22">
        <v>45912</v>
      </c>
      <c r="B1125" s="23" t="s">
        <v>1998</v>
      </c>
      <c r="C1125" s="23">
        <v>13886181096</v>
      </c>
      <c r="D1125" s="23"/>
      <c r="E1125" s="23" t="s">
        <v>753</v>
      </c>
      <c r="F1125" s="23">
        <v>1</v>
      </c>
    </row>
    <row r="1126" customHeight="1" spans="1:6">
      <c r="A1126" s="22">
        <v>45912</v>
      </c>
      <c r="B1126" s="23" t="s">
        <v>1999</v>
      </c>
      <c r="C1126" s="23">
        <v>18995633655</v>
      </c>
      <c r="D1126" s="23"/>
      <c r="E1126" s="23" t="s">
        <v>835</v>
      </c>
      <c r="F1126" s="23">
        <v>1</v>
      </c>
    </row>
    <row r="1127" customHeight="1" spans="1:6">
      <c r="A1127" s="22">
        <v>45912</v>
      </c>
      <c r="B1127" s="23" t="s">
        <v>2000</v>
      </c>
      <c r="C1127" s="23">
        <v>19834860291</v>
      </c>
      <c r="D1127" s="23"/>
      <c r="E1127" s="23" t="s">
        <v>980</v>
      </c>
      <c r="F1127" s="23">
        <v>1</v>
      </c>
    </row>
    <row r="1128" customHeight="1" spans="1:6">
      <c r="A1128" s="22">
        <v>45912</v>
      </c>
      <c r="B1128" s="23" t="s">
        <v>2001</v>
      </c>
      <c r="C1128" s="23">
        <v>18075579443</v>
      </c>
      <c r="D1128" s="23"/>
      <c r="E1128" s="23" t="s">
        <v>1884</v>
      </c>
      <c r="F1128" s="23">
        <v>1</v>
      </c>
    </row>
    <row r="1129" customHeight="1" spans="1:6">
      <c r="A1129" s="22">
        <v>45912</v>
      </c>
      <c r="B1129" s="23" t="s">
        <v>2002</v>
      </c>
      <c r="C1129" s="23">
        <v>18986077077</v>
      </c>
      <c r="D1129" s="23"/>
      <c r="E1129" s="23" t="s">
        <v>2003</v>
      </c>
      <c r="F1129" s="23">
        <v>1</v>
      </c>
    </row>
    <row r="1130" customHeight="1" spans="1:6">
      <c r="A1130" s="22">
        <v>45912</v>
      </c>
      <c r="B1130" s="23" t="s">
        <v>2004</v>
      </c>
      <c r="C1130" s="23">
        <v>18869356425</v>
      </c>
      <c r="D1130" s="23"/>
      <c r="E1130" s="23" t="s">
        <v>2005</v>
      </c>
      <c r="F1130" s="23">
        <v>1</v>
      </c>
    </row>
    <row r="1131" customHeight="1" spans="1:6">
      <c r="A1131" s="22">
        <v>45912</v>
      </c>
      <c r="B1131" s="23" t="s">
        <v>2006</v>
      </c>
      <c r="C1131" s="23">
        <v>13988208656</v>
      </c>
      <c r="D1131" s="23"/>
      <c r="E1131" s="23" t="s">
        <v>1988</v>
      </c>
      <c r="F1131" s="23">
        <v>1</v>
      </c>
    </row>
    <row r="1132" customHeight="1" spans="1:6">
      <c r="A1132" s="22">
        <v>45912</v>
      </c>
      <c r="B1132" s="23" t="s">
        <v>2007</v>
      </c>
      <c r="C1132" s="23">
        <v>15207278440</v>
      </c>
      <c r="D1132" s="23"/>
      <c r="E1132" s="23" t="s">
        <v>2008</v>
      </c>
      <c r="F1132" s="23">
        <v>1</v>
      </c>
    </row>
    <row r="1133" customHeight="1" spans="1:6">
      <c r="A1133" s="22">
        <v>45912</v>
      </c>
      <c r="B1133" s="23" t="s">
        <v>2009</v>
      </c>
      <c r="C1133" s="23">
        <v>15800008867</v>
      </c>
      <c r="D1133" s="23"/>
      <c r="E1133" s="23" t="s">
        <v>1755</v>
      </c>
      <c r="F1133" s="23">
        <v>1</v>
      </c>
    </row>
    <row r="1134" customHeight="1" spans="1:6">
      <c r="A1134" s="22">
        <v>45912</v>
      </c>
      <c r="B1134" s="23" t="s">
        <v>2010</v>
      </c>
      <c r="C1134" s="23">
        <v>13872912526</v>
      </c>
      <c r="D1134" s="23"/>
      <c r="E1134" s="23" t="s">
        <v>960</v>
      </c>
      <c r="F1134" s="23">
        <v>1</v>
      </c>
    </row>
    <row r="1135" customHeight="1" spans="1:6">
      <c r="A1135" s="22">
        <v>45912</v>
      </c>
      <c r="B1135" s="23" t="s">
        <v>2011</v>
      </c>
      <c r="C1135" s="23">
        <v>18591014153</v>
      </c>
      <c r="D1135" s="23"/>
      <c r="E1135" s="23" t="s">
        <v>1478</v>
      </c>
      <c r="F1135" s="23">
        <v>1</v>
      </c>
    </row>
    <row r="1136" customHeight="1" spans="1:6">
      <c r="A1136" s="22">
        <v>45912</v>
      </c>
      <c r="B1136" s="26" t="s">
        <v>2012</v>
      </c>
      <c r="C1136" s="26">
        <v>18986132558</v>
      </c>
      <c r="D1136" s="23"/>
      <c r="E1136" s="23" t="s">
        <v>980</v>
      </c>
      <c r="F1136" s="23">
        <v>1</v>
      </c>
    </row>
    <row r="1137" customHeight="1" spans="1:6">
      <c r="A1137" s="22">
        <v>45912</v>
      </c>
      <c r="B1137" s="26" t="s">
        <v>2013</v>
      </c>
      <c r="C1137" s="26">
        <v>19877343692</v>
      </c>
      <c r="D1137" s="23"/>
      <c r="E1137" s="23" t="s">
        <v>1478</v>
      </c>
      <c r="F1137" s="23">
        <v>1</v>
      </c>
    </row>
    <row r="1138" customHeight="1" spans="1:6">
      <c r="A1138" s="22">
        <v>45913</v>
      </c>
      <c r="B1138" s="23" t="s">
        <v>2014</v>
      </c>
      <c r="C1138" s="23">
        <v>18260971645</v>
      </c>
      <c r="D1138" s="23"/>
      <c r="E1138" s="23" t="s">
        <v>876</v>
      </c>
      <c r="F1138" s="23">
        <v>1</v>
      </c>
    </row>
    <row r="1139" customHeight="1" spans="1:6">
      <c r="A1139" s="22">
        <v>45913</v>
      </c>
      <c r="B1139" s="26" t="s">
        <v>2015</v>
      </c>
      <c r="C1139" s="26">
        <v>13320379720</v>
      </c>
      <c r="D1139" s="23"/>
      <c r="E1139" s="23" t="s">
        <v>753</v>
      </c>
      <c r="F1139" s="23">
        <v>1</v>
      </c>
    </row>
    <row r="1140" customHeight="1" spans="1:6">
      <c r="A1140" s="22">
        <v>45913</v>
      </c>
      <c r="B1140" s="23" t="s">
        <v>2016</v>
      </c>
      <c r="C1140" s="23">
        <v>15272835557</v>
      </c>
      <c r="D1140" s="23"/>
      <c r="E1140" s="23" t="s">
        <v>838</v>
      </c>
      <c r="F1140" s="23">
        <v>1</v>
      </c>
    </row>
    <row r="1141" customHeight="1" spans="1:6">
      <c r="A1141" s="22">
        <v>45913</v>
      </c>
      <c r="B1141" s="23" t="s">
        <v>2017</v>
      </c>
      <c r="C1141" s="23">
        <v>17754422754</v>
      </c>
      <c r="D1141" s="23"/>
      <c r="E1141" s="23" t="s">
        <v>1478</v>
      </c>
      <c r="F1141" s="23">
        <v>1</v>
      </c>
    </row>
    <row r="1142" customHeight="1" spans="1:6">
      <c r="A1142" s="22">
        <v>45913</v>
      </c>
      <c r="B1142" s="23" t="s">
        <v>2018</v>
      </c>
      <c r="C1142" s="23">
        <v>17371788319</v>
      </c>
      <c r="D1142" s="23"/>
      <c r="E1142" s="23" t="s">
        <v>999</v>
      </c>
      <c r="F1142" s="23">
        <v>1</v>
      </c>
    </row>
    <row r="1143" customHeight="1" spans="1:6">
      <c r="A1143" s="22">
        <v>45913</v>
      </c>
      <c r="B1143" s="23" t="s">
        <v>2019</v>
      </c>
      <c r="C1143" s="23">
        <v>18202757491</v>
      </c>
      <c r="D1143" s="23"/>
      <c r="E1143" s="23" t="s">
        <v>831</v>
      </c>
      <c r="F1143" s="23">
        <v>1</v>
      </c>
    </row>
    <row r="1144" customHeight="1" spans="1:6">
      <c r="A1144" s="22">
        <v>45913</v>
      </c>
      <c r="B1144" s="26" t="s">
        <v>2020</v>
      </c>
      <c r="C1144" s="26">
        <v>15527820861</v>
      </c>
      <c r="D1144" s="23"/>
      <c r="E1144" s="23" t="s">
        <v>940</v>
      </c>
      <c r="F1144" s="23">
        <v>1</v>
      </c>
    </row>
    <row r="1145" customHeight="1" spans="1:6">
      <c r="A1145" s="22">
        <v>45913</v>
      </c>
      <c r="B1145" s="29" t="s">
        <v>2021</v>
      </c>
      <c r="C1145" s="26">
        <v>19127775214</v>
      </c>
      <c r="D1145" s="23"/>
      <c r="E1145" s="23" t="s">
        <v>2022</v>
      </c>
      <c r="F1145" s="23">
        <v>1</v>
      </c>
    </row>
    <row r="1146" customHeight="1" spans="1:6">
      <c r="A1146" s="22">
        <v>45913</v>
      </c>
      <c r="B1146" s="23" t="s">
        <v>2023</v>
      </c>
      <c r="C1146" s="23">
        <v>18977791016</v>
      </c>
      <c r="D1146" s="23"/>
      <c r="E1146" s="23" t="s">
        <v>980</v>
      </c>
      <c r="F1146" s="23">
        <v>1</v>
      </c>
    </row>
    <row r="1147" customHeight="1" spans="1:6">
      <c r="A1147" s="22">
        <v>45913</v>
      </c>
      <c r="B1147" s="23" t="s">
        <v>2024</v>
      </c>
      <c r="C1147" s="23">
        <v>13292957110</v>
      </c>
      <c r="D1147" s="23"/>
      <c r="E1147" s="23" t="s">
        <v>980</v>
      </c>
      <c r="F1147" s="23">
        <v>1</v>
      </c>
    </row>
    <row r="1148" customHeight="1" spans="1:6">
      <c r="A1148" s="22">
        <v>45913</v>
      </c>
      <c r="B1148" s="23" t="s">
        <v>2025</v>
      </c>
      <c r="C1148" s="23">
        <v>15826933592</v>
      </c>
      <c r="D1148" s="23"/>
      <c r="E1148" s="23" t="s">
        <v>1478</v>
      </c>
      <c r="F1148" s="23">
        <v>1</v>
      </c>
    </row>
    <row r="1149" customHeight="1" spans="1:6">
      <c r="A1149" s="22">
        <v>45913</v>
      </c>
      <c r="B1149" s="23" t="s">
        <v>2026</v>
      </c>
      <c r="C1149" s="23">
        <v>15890035354</v>
      </c>
      <c r="D1149" s="23"/>
      <c r="E1149" s="23" t="s">
        <v>960</v>
      </c>
      <c r="F1149" s="23">
        <v>1</v>
      </c>
    </row>
    <row r="1150" customHeight="1" spans="1:6">
      <c r="A1150" s="22">
        <v>45913</v>
      </c>
      <c r="B1150" s="23" t="s">
        <v>2027</v>
      </c>
      <c r="C1150" s="23">
        <v>13437177169</v>
      </c>
      <c r="D1150" s="23"/>
      <c r="E1150" s="23" t="s">
        <v>940</v>
      </c>
      <c r="F1150" s="23">
        <v>1</v>
      </c>
    </row>
    <row r="1151" customHeight="1" spans="1:6">
      <c r="A1151" s="22">
        <v>45913</v>
      </c>
      <c r="B1151" s="23" t="s">
        <v>1177</v>
      </c>
      <c r="C1151" s="23">
        <v>18137394933</v>
      </c>
      <c r="D1151" s="23"/>
      <c r="E1151" s="23" t="s">
        <v>2022</v>
      </c>
      <c r="F1151" s="23">
        <v>1</v>
      </c>
    </row>
    <row r="1152" customHeight="1" spans="1:6">
      <c r="A1152" s="22">
        <v>45913</v>
      </c>
      <c r="B1152" s="23" t="s">
        <v>2028</v>
      </c>
      <c r="C1152" s="23">
        <v>19371283659</v>
      </c>
      <c r="D1152" s="23"/>
      <c r="E1152" s="23" t="s">
        <v>1478</v>
      </c>
      <c r="F1152" s="23">
        <v>1</v>
      </c>
    </row>
    <row r="1153" customHeight="1" spans="1:6">
      <c r="A1153" s="22">
        <v>45913</v>
      </c>
      <c r="B1153" s="23" t="s">
        <v>681</v>
      </c>
      <c r="C1153" s="23">
        <v>15893837570</v>
      </c>
      <c r="D1153" s="23"/>
      <c r="E1153" s="23" t="s">
        <v>980</v>
      </c>
      <c r="F1153" s="23">
        <v>1</v>
      </c>
    </row>
    <row r="1154" customHeight="1" spans="1:6">
      <c r="A1154" s="22">
        <v>45913</v>
      </c>
      <c r="B1154" s="23" t="s">
        <v>2029</v>
      </c>
      <c r="C1154" s="23">
        <v>13476446923</v>
      </c>
      <c r="D1154" s="23"/>
      <c r="E1154" s="23" t="s">
        <v>2022</v>
      </c>
      <c r="F1154" s="23">
        <v>1</v>
      </c>
    </row>
    <row r="1155" customHeight="1" spans="1:6">
      <c r="A1155" s="22">
        <v>45913</v>
      </c>
      <c r="B1155" s="23" t="s">
        <v>2030</v>
      </c>
      <c r="C1155" s="23">
        <v>17767357229</v>
      </c>
      <c r="D1155" s="23"/>
      <c r="E1155" s="23" t="s">
        <v>1884</v>
      </c>
      <c r="F1155" s="23">
        <v>1</v>
      </c>
    </row>
    <row r="1156" customHeight="1" spans="1:6">
      <c r="A1156" s="22">
        <v>45913</v>
      </c>
      <c r="B1156" s="26" t="s">
        <v>2031</v>
      </c>
      <c r="C1156" s="26">
        <v>15608683112</v>
      </c>
      <c r="D1156" s="23"/>
      <c r="E1156" s="23" t="s">
        <v>742</v>
      </c>
      <c r="F1156" s="23">
        <v>1</v>
      </c>
    </row>
    <row r="1157" ht="27" customHeight="1" spans="1:6">
      <c r="A1157" s="22">
        <v>45913</v>
      </c>
      <c r="B1157" s="29" t="s">
        <v>2032</v>
      </c>
      <c r="C1157" s="29" t="s">
        <v>2033</v>
      </c>
      <c r="D1157" s="23"/>
      <c r="E1157" s="23" t="s">
        <v>2034</v>
      </c>
      <c r="F1157" s="23">
        <v>2</v>
      </c>
    </row>
    <row r="1158" customHeight="1" spans="1:6">
      <c r="A1158" s="22">
        <v>45914</v>
      </c>
      <c r="B1158" s="26" t="s">
        <v>2035</v>
      </c>
      <c r="C1158" s="26">
        <v>18797395275</v>
      </c>
      <c r="D1158" s="23"/>
      <c r="E1158" s="23" t="s">
        <v>2036</v>
      </c>
      <c r="F1158" s="23">
        <v>3</v>
      </c>
    </row>
    <row r="1159" customHeight="1" spans="1:6">
      <c r="A1159" s="22">
        <v>45914</v>
      </c>
      <c r="B1159" s="26" t="s">
        <v>2037</v>
      </c>
      <c r="C1159" s="26">
        <v>15377234346</v>
      </c>
      <c r="D1159" s="23"/>
      <c r="E1159" s="23" t="s">
        <v>2038</v>
      </c>
      <c r="F1159" s="23">
        <v>3</v>
      </c>
    </row>
    <row r="1160" customHeight="1" spans="1:6">
      <c r="A1160" s="22">
        <v>45914</v>
      </c>
      <c r="B1160" s="29" t="s">
        <v>2039</v>
      </c>
      <c r="C1160" s="29" t="s">
        <v>2040</v>
      </c>
      <c r="D1160" s="23"/>
      <c r="E1160" s="23" t="s">
        <v>2041</v>
      </c>
      <c r="F1160" s="23">
        <v>3</v>
      </c>
    </row>
    <row r="1161" customHeight="1" spans="1:6">
      <c r="A1161" s="22">
        <v>45914</v>
      </c>
      <c r="B1161" s="26" t="s">
        <v>2042</v>
      </c>
      <c r="C1161" s="26">
        <v>13329161683</v>
      </c>
      <c r="D1161" s="23"/>
      <c r="E1161" s="23" t="s">
        <v>2043</v>
      </c>
      <c r="F1161" s="23">
        <v>3</v>
      </c>
    </row>
    <row r="1162" customHeight="1" spans="1:6">
      <c r="A1162" s="22">
        <v>45914</v>
      </c>
      <c r="B1162" s="26" t="s">
        <v>2044</v>
      </c>
      <c r="C1162" s="26">
        <v>15093791626</v>
      </c>
      <c r="D1162" s="23"/>
      <c r="E1162" s="23" t="s">
        <v>2038</v>
      </c>
      <c r="F1162" s="23">
        <v>3</v>
      </c>
    </row>
    <row r="1163" customHeight="1" spans="1:6">
      <c r="A1163" s="22">
        <v>45914</v>
      </c>
      <c r="B1163" s="26" t="s">
        <v>2045</v>
      </c>
      <c r="C1163" s="26">
        <v>15090886887</v>
      </c>
      <c r="D1163" s="23"/>
      <c r="E1163" s="23" t="s">
        <v>2046</v>
      </c>
      <c r="F1163" s="23">
        <v>3</v>
      </c>
    </row>
    <row r="1164" customHeight="1" spans="1:6">
      <c r="A1164" s="22">
        <v>45914</v>
      </c>
      <c r="B1164" s="26" t="s">
        <v>2047</v>
      </c>
      <c r="C1164" s="26">
        <v>15907126866</v>
      </c>
      <c r="D1164" s="23"/>
      <c r="E1164" s="23" t="s">
        <v>2048</v>
      </c>
      <c r="F1164" s="23">
        <v>1</v>
      </c>
    </row>
    <row r="1165" customHeight="1" spans="1:6">
      <c r="A1165" s="22">
        <v>45914</v>
      </c>
      <c r="B1165" s="26" t="s">
        <v>2049</v>
      </c>
      <c r="C1165" s="26">
        <v>15629137807</v>
      </c>
      <c r="D1165" s="23"/>
      <c r="E1165" s="23" t="s">
        <v>2036</v>
      </c>
      <c r="F1165" s="23">
        <v>3</v>
      </c>
    </row>
    <row r="1166" customHeight="1" spans="1:6">
      <c r="A1166" s="22">
        <v>45914</v>
      </c>
      <c r="B1166" s="26" t="s">
        <v>2050</v>
      </c>
      <c r="C1166" s="26">
        <v>15623330286</v>
      </c>
      <c r="D1166" s="23"/>
      <c r="E1166" s="23" t="s">
        <v>2043</v>
      </c>
      <c r="F1166" s="23">
        <v>3</v>
      </c>
    </row>
    <row r="1167" customHeight="1" spans="1:6">
      <c r="A1167" s="22">
        <v>45914</v>
      </c>
      <c r="B1167" s="29" t="s">
        <v>2051</v>
      </c>
      <c r="C1167" s="29">
        <v>13886410673</v>
      </c>
      <c r="D1167" s="23"/>
      <c r="E1167" s="23" t="s">
        <v>2052</v>
      </c>
      <c r="F1167" s="23">
        <v>1</v>
      </c>
    </row>
    <row r="1168" customHeight="1" spans="1:6">
      <c r="A1168" s="22">
        <v>45914</v>
      </c>
      <c r="B1168" s="26" t="s">
        <v>2053</v>
      </c>
      <c r="C1168" s="26">
        <v>15148549009</v>
      </c>
      <c r="D1168" s="23"/>
      <c r="E1168" s="23" t="s">
        <v>2054</v>
      </c>
      <c r="F1168" s="23">
        <v>3</v>
      </c>
    </row>
    <row r="1169" customHeight="1" spans="1:6">
      <c r="A1169" s="22">
        <v>45914</v>
      </c>
      <c r="B1169" s="26" t="s">
        <v>2055</v>
      </c>
      <c r="C1169" s="26">
        <v>18229369932</v>
      </c>
      <c r="D1169" s="23"/>
      <c r="E1169" s="23" t="s">
        <v>2056</v>
      </c>
      <c r="F1169" s="23">
        <v>3</v>
      </c>
    </row>
    <row r="1170" customHeight="1" spans="1:6">
      <c r="A1170" s="22">
        <v>45914</v>
      </c>
      <c r="B1170" s="26" t="s">
        <v>2057</v>
      </c>
      <c r="C1170" s="26">
        <v>13607228275</v>
      </c>
      <c r="D1170" s="23"/>
      <c r="E1170" s="23" t="s">
        <v>2058</v>
      </c>
      <c r="F1170" s="23">
        <v>2</v>
      </c>
    </row>
    <row r="1171" customHeight="1" spans="1:6">
      <c r="A1171" s="22">
        <v>45914</v>
      </c>
      <c r="B1171" s="29" t="s">
        <v>2059</v>
      </c>
      <c r="C1171" s="29" t="s">
        <v>2060</v>
      </c>
      <c r="D1171" s="23"/>
      <c r="E1171" s="23" t="s">
        <v>2061</v>
      </c>
      <c r="F1171" s="23">
        <v>2</v>
      </c>
    </row>
    <row r="1172" customHeight="1" spans="1:6">
      <c r="A1172" s="22">
        <v>45914</v>
      </c>
      <c r="B1172" s="26" t="s">
        <v>2062</v>
      </c>
      <c r="C1172" s="26">
        <v>19847692790</v>
      </c>
      <c r="D1172" s="23"/>
      <c r="E1172" s="23" t="s">
        <v>2063</v>
      </c>
      <c r="F1172" s="23">
        <v>2</v>
      </c>
    </row>
    <row r="1173" customHeight="1" spans="1:6">
      <c r="A1173" s="22">
        <v>45914</v>
      </c>
      <c r="B1173" s="26" t="s">
        <v>2064</v>
      </c>
      <c r="C1173" s="26">
        <v>15530115445</v>
      </c>
      <c r="D1173" s="23"/>
      <c r="E1173" s="23" t="s">
        <v>843</v>
      </c>
      <c r="F1173" s="23"/>
    </row>
    <row r="1174" customHeight="1" spans="1:6">
      <c r="A1174" s="22">
        <v>45914</v>
      </c>
      <c r="B1174" s="26" t="s">
        <v>2065</v>
      </c>
      <c r="C1174" s="26">
        <v>18271490723</v>
      </c>
      <c r="E1174" s="23" t="s">
        <v>960</v>
      </c>
      <c r="F1174" s="23">
        <v>1</v>
      </c>
    </row>
    <row r="1175" ht="33" customHeight="1" spans="1:6">
      <c r="A1175" s="22">
        <v>45914</v>
      </c>
      <c r="B1175" s="29" t="s">
        <v>2066</v>
      </c>
      <c r="C1175" s="29" t="s">
        <v>2067</v>
      </c>
      <c r="E1175" s="23" t="s">
        <v>2068</v>
      </c>
      <c r="F1175" s="23">
        <v>2</v>
      </c>
    </row>
    <row r="1176" customHeight="1" spans="1:6">
      <c r="A1176" s="22">
        <v>45915</v>
      </c>
      <c r="B1176" s="29" t="s">
        <v>2069</v>
      </c>
      <c r="C1176" s="29">
        <v>15713610391</v>
      </c>
      <c r="E1176" s="23" t="s">
        <v>753</v>
      </c>
      <c r="F1176" s="23">
        <v>1</v>
      </c>
    </row>
    <row r="1177" customHeight="1" spans="1:6">
      <c r="A1177" s="22">
        <v>45915</v>
      </c>
      <c r="B1177" s="23" t="s">
        <v>2070</v>
      </c>
      <c r="C1177" s="23">
        <v>13117116789</v>
      </c>
      <c r="E1177" s="23" t="s">
        <v>1478</v>
      </c>
      <c r="F1177" s="23">
        <v>1</v>
      </c>
    </row>
    <row r="1178" customHeight="1" spans="1:6">
      <c r="A1178" s="22">
        <v>45915</v>
      </c>
      <c r="B1178" s="23" t="s">
        <v>2069</v>
      </c>
      <c r="C1178" s="23">
        <v>15713610391</v>
      </c>
      <c r="E1178" s="23" t="s">
        <v>753</v>
      </c>
      <c r="F1178" s="23">
        <v>1</v>
      </c>
    </row>
    <row r="1179" customHeight="1" spans="1:6">
      <c r="A1179" s="22">
        <v>45915</v>
      </c>
      <c r="B1179" s="23" t="s">
        <v>2071</v>
      </c>
      <c r="C1179" s="23">
        <v>13886061745</v>
      </c>
      <c r="E1179" s="23" t="s">
        <v>1064</v>
      </c>
      <c r="F1179" s="23">
        <v>1</v>
      </c>
    </row>
    <row r="1180" customHeight="1" spans="1:6">
      <c r="A1180" s="22">
        <v>45915</v>
      </c>
      <c r="B1180" s="23" t="s">
        <v>2072</v>
      </c>
      <c r="C1180" s="23">
        <v>15002706534</v>
      </c>
      <c r="E1180" s="23" t="s">
        <v>2073</v>
      </c>
      <c r="F1180" s="23">
        <v>1</v>
      </c>
    </row>
    <row r="1181" customHeight="1" spans="1:6">
      <c r="A1181" s="22">
        <v>45915</v>
      </c>
      <c r="B1181" s="23" t="s">
        <v>2074</v>
      </c>
      <c r="C1181" s="23">
        <v>13329161683</v>
      </c>
      <c r="E1181" s="23" t="s">
        <v>960</v>
      </c>
      <c r="F1181" s="23">
        <v>1</v>
      </c>
    </row>
    <row r="1182" customHeight="1" spans="1:6">
      <c r="A1182" s="22">
        <v>45915</v>
      </c>
      <c r="B1182" s="23" t="s">
        <v>2075</v>
      </c>
      <c r="C1182" s="23">
        <v>16670530875</v>
      </c>
      <c r="E1182" s="23" t="s">
        <v>797</v>
      </c>
      <c r="F1182" s="23">
        <v>1</v>
      </c>
    </row>
    <row r="1183" customHeight="1" spans="1:6">
      <c r="A1183" s="22">
        <v>45915</v>
      </c>
      <c r="B1183" s="23" t="s">
        <v>2076</v>
      </c>
      <c r="C1183" s="23">
        <v>1877221413</v>
      </c>
      <c r="E1183" s="23" t="s">
        <v>980</v>
      </c>
      <c r="F1183" s="23">
        <v>1</v>
      </c>
    </row>
    <row r="1184" customHeight="1" spans="1:6">
      <c r="A1184" s="22">
        <v>45915</v>
      </c>
      <c r="B1184" s="23" t="s">
        <v>2077</v>
      </c>
      <c r="C1184" s="23">
        <v>13087449789</v>
      </c>
      <c r="E1184" s="23" t="s">
        <v>960</v>
      </c>
      <c r="F1184" s="23">
        <v>1</v>
      </c>
    </row>
    <row r="1185" customHeight="1" spans="1:6">
      <c r="A1185" s="22">
        <v>45915</v>
      </c>
      <c r="B1185" s="23" t="s">
        <v>2078</v>
      </c>
      <c r="C1185" s="23">
        <v>18986005843</v>
      </c>
      <c r="E1185" s="23" t="s">
        <v>1807</v>
      </c>
      <c r="F1185" s="23">
        <v>1</v>
      </c>
    </row>
    <row r="1186" customHeight="1" spans="1:6">
      <c r="A1186" s="22">
        <v>45915</v>
      </c>
      <c r="B1186" s="23" t="s">
        <v>2079</v>
      </c>
      <c r="C1186" s="23">
        <v>18325589357</v>
      </c>
      <c r="E1186" s="23" t="s">
        <v>960</v>
      </c>
      <c r="F1186" s="23">
        <v>1</v>
      </c>
    </row>
    <row r="1187" customHeight="1" spans="1:6">
      <c r="A1187" s="22">
        <v>45915</v>
      </c>
      <c r="B1187" s="23" t="s">
        <v>2080</v>
      </c>
      <c r="C1187" s="23">
        <v>18272469497</v>
      </c>
      <c r="E1187" s="23" t="s">
        <v>1966</v>
      </c>
      <c r="F1187" s="23">
        <v>1</v>
      </c>
    </row>
    <row r="1188" customHeight="1" spans="1:6">
      <c r="A1188" s="22">
        <v>45915</v>
      </c>
      <c r="B1188" s="23" t="s">
        <v>2081</v>
      </c>
      <c r="C1188" s="23">
        <v>15275974564</v>
      </c>
      <c r="E1188" s="23" t="s">
        <v>940</v>
      </c>
      <c r="F1188" s="23">
        <v>1</v>
      </c>
    </row>
    <row r="1189" customHeight="1" spans="1:6">
      <c r="A1189" s="22">
        <v>45915</v>
      </c>
      <c r="B1189" s="23" t="s">
        <v>2082</v>
      </c>
      <c r="C1189" s="23">
        <v>15994372629</v>
      </c>
      <c r="E1189" s="23" t="s">
        <v>2052</v>
      </c>
      <c r="F1189" s="23">
        <v>2</v>
      </c>
    </row>
    <row r="1190" customHeight="1" spans="1:6">
      <c r="A1190" s="22">
        <v>45915</v>
      </c>
      <c r="B1190" s="23" t="s">
        <v>2083</v>
      </c>
      <c r="C1190" s="23">
        <v>15937631552</v>
      </c>
      <c r="E1190" s="23" t="s">
        <v>1790</v>
      </c>
      <c r="F1190" s="23">
        <v>1</v>
      </c>
    </row>
    <row r="1191" customHeight="1" spans="1:6">
      <c r="A1191" s="22">
        <v>45915</v>
      </c>
      <c r="B1191" s="23" t="s">
        <v>2084</v>
      </c>
      <c r="C1191" s="23">
        <v>13770409528</v>
      </c>
      <c r="E1191" s="23" t="s">
        <v>1790</v>
      </c>
      <c r="F1191" s="23">
        <v>1</v>
      </c>
    </row>
    <row r="1192" customHeight="1" spans="1:6">
      <c r="A1192" s="22">
        <v>45915</v>
      </c>
      <c r="B1192" s="23" t="s">
        <v>2085</v>
      </c>
      <c r="C1192" s="23">
        <v>18239792221</v>
      </c>
      <c r="E1192" s="23" t="s">
        <v>962</v>
      </c>
      <c r="F1192" s="23">
        <v>1</v>
      </c>
    </row>
    <row r="1193" customHeight="1" spans="1:6">
      <c r="A1193" s="22">
        <v>45916</v>
      </c>
      <c r="B1193" s="23" t="s">
        <v>2086</v>
      </c>
      <c r="C1193" s="23">
        <v>19166797285</v>
      </c>
      <c r="E1193" s="23" t="s">
        <v>962</v>
      </c>
      <c r="F1193" s="23"/>
    </row>
    <row r="1194" customHeight="1" spans="1:6">
      <c r="A1194" s="22">
        <v>45916</v>
      </c>
      <c r="B1194" s="23" t="s">
        <v>2087</v>
      </c>
      <c r="C1194" s="23">
        <v>13699352786</v>
      </c>
      <c r="E1194" s="23" t="s">
        <v>753</v>
      </c>
      <c r="F1194" s="23">
        <v>1</v>
      </c>
    </row>
    <row r="1195" customHeight="1" spans="1:6">
      <c r="A1195" s="22">
        <v>45916</v>
      </c>
      <c r="B1195" s="23" t="s">
        <v>1222</v>
      </c>
      <c r="C1195" s="23">
        <v>18314082212</v>
      </c>
      <c r="E1195" s="23" t="s">
        <v>831</v>
      </c>
      <c r="F1195" s="23">
        <v>1</v>
      </c>
    </row>
    <row r="1196" customHeight="1" spans="1:6">
      <c r="A1196" s="22">
        <v>45916</v>
      </c>
      <c r="B1196" s="23" t="s">
        <v>2088</v>
      </c>
      <c r="C1196" s="23">
        <v>13687248737</v>
      </c>
      <c r="E1196" s="23" t="s">
        <v>960</v>
      </c>
      <c r="F1196" s="23">
        <v>1</v>
      </c>
    </row>
    <row r="1197" customHeight="1" spans="1:6">
      <c r="A1197" s="22">
        <v>45916</v>
      </c>
      <c r="B1197" s="23" t="s">
        <v>2089</v>
      </c>
      <c r="C1197" s="23">
        <v>19102711325</v>
      </c>
      <c r="E1197" s="23" t="s">
        <v>876</v>
      </c>
      <c r="F1197" s="23">
        <v>1</v>
      </c>
    </row>
    <row r="1198" customHeight="1" spans="1:6">
      <c r="A1198" s="22">
        <v>45916</v>
      </c>
      <c r="B1198" s="23" t="s">
        <v>2090</v>
      </c>
      <c r="C1198" s="23">
        <v>1770424398</v>
      </c>
      <c r="E1198" s="23" t="s">
        <v>968</v>
      </c>
      <c r="F1198" s="23">
        <v>1</v>
      </c>
    </row>
    <row r="1199" customHeight="1" spans="1:6">
      <c r="A1199" s="22">
        <v>45916</v>
      </c>
      <c r="B1199" s="23" t="s">
        <v>2091</v>
      </c>
      <c r="C1199" s="23">
        <v>15871799487</v>
      </c>
      <c r="E1199" s="23" t="s">
        <v>753</v>
      </c>
      <c r="F1199" s="23">
        <v>1</v>
      </c>
    </row>
    <row r="1200" customHeight="1" spans="1:6">
      <c r="A1200" s="22">
        <v>45916</v>
      </c>
      <c r="B1200" s="23" t="s">
        <v>2092</v>
      </c>
      <c r="C1200" s="23">
        <v>15248425430</v>
      </c>
      <c r="E1200" s="23" t="s">
        <v>876</v>
      </c>
      <c r="F1200" s="23">
        <v>1</v>
      </c>
    </row>
    <row r="1201" customHeight="1" spans="1:6">
      <c r="A1201" s="22">
        <v>45916</v>
      </c>
      <c r="B1201" s="23" t="s">
        <v>2093</v>
      </c>
      <c r="C1201" s="23">
        <v>17728106513</v>
      </c>
      <c r="E1201" s="23" t="s">
        <v>980</v>
      </c>
      <c r="F1201" s="23">
        <v>1</v>
      </c>
    </row>
    <row r="1202" customHeight="1" spans="1:6">
      <c r="A1202" s="22">
        <v>45916</v>
      </c>
      <c r="B1202" s="23" t="s">
        <v>2094</v>
      </c>
      <c r="C1202" s="23">
        <v>18327107744</v>
      </c>
      <c r="E1202" s="23" t="s">
        <v>980</v>
      </c>
      <c r="F1202" s="23">
        <v>1</v>
      </c>
    </row>
    <row r="1203" customHeight="1" spans="1:6">
      <c r="A1203" s="22">
        <v>45916</v>
      </c>
      <c r="B1203" s="23" t="s">
        <v>2095</v>
      </c>
      <c r="C1203" s="144" t="s">
        <v>2096</v>
      </c>
      <c r="E1203" s="23" t="s">
        <v>980</v>
      </c>
      <c r="F1203" s="23">
        <v>1</v>
      </c>
    </row>
    <row r="1204" customHeight="1" spans="1:6">
      <c r="A1204" s="22">
        <v>45916</v>
      </c>
      <c r="B1204" s="23" t="s">
        <v>2097</v>
      </c>
      <c r="C1204" s="23">
        <v>18857494119</v>
      </c>
      <c r="E1204" s="23" t="s">
        <v>968</v>
      </c>
      <c r="F1204" s="23">
        <v>1</v>
      </c>
    </row>
    <row r="1205" customHeight="1" spans="1:6">
      <c r="A1205" s="22">
        <v>45916</v>
      </c>
      <c r="B1205" s="23" t="s">
        <v>2098</v>
      </c>
      <c r="C1205" s="23">
        <v>15587630690</v>
      </c>
      <c r="E1205" s="23" t="s">
        <v>800</v>
      </c>
      <c r="F1205" s="23">
        <v>1</v>
      </c>
    </row>
    <row r="1206" customHeight="1" spans="1:6">
      <c r="A1206" s="22">
        <v>45916</v>
      </c>
      <c r="B1206" s="23" t="s">
        <v>2099</v>
      </c>
      <c r="C1206" s="23">
        <v>15087182627</v>
      </c>
      <c r="E1206" s="23" t="s">
        <v>753</v>
      </c>
      <c r="F1206" s="23">
        <v>1</v>
      </c>
    </row>
    <row r="1207" customHeight="1" spans="1:6">
      <c r="A1207" s="22">
        <v>45916</v>
      </c>
      <c r="B1207" s="23" t="s">
        <v>2100</v>
      </c>
      <c r="C1207" s="23">
        <v>19831229451</v>
      </c>
      <c r="E1207" s="23" t="s">
        <v>980</v>
      </c>
      <c r="F1207" s="23">
        <v>1</v>
      </c>
    </row>
    <row r="1208" customHeight="1" spans="1:6">
      <c r="A1208" s="22">
        <v>45916</v>
      </c>
      <c r="B1208" s="23" t="s">
        <v>2101</v>
      </c>
      <c r="C1208" s="23">
        <v>19856477181</v>
      </c>
      <c r="E1208" s="23" t="s">
        <v>831</v>
      </c>
      <c r="F1208" s="23">
        <v>1</v>
      </c>
    </row>
    <row r="1209" customHeight="1" spans="1:6">
      <c r="A1209" s="22">
        <v>45916</v>
      </c>
      <c r="B1209" s="23" t="s">
        <v>2102</v>
      </c>
      <c r="C1209" s="23">
        <v>15387033388</v>
      </c>
      <c r="E1209" s="23" t="s">
        <v>831</v>
      </c>
      <c r="F1209" s="23">
        <v>1</v>
      </c>
    </row>
    <row r="1210" customHeight="1" spans="1:6">
      <c r="A1210" s="22">
        <v>45916</v>
      </c>
      <c r="B1210" s="23" t="s">
        <v>2103</v>
      </c>
      <c r="C1210" s="23">
        <v>15327258115</v>
      </c>
      <c r="E1210" s="23" t="s">
        <v>753</v>
      </c>
      <c r="F1210" s="23">
        <v>1</v>
      </c>
    </row>
    <row r="1211" customHeight="1" spans="1:6">
      <c r="A1211" s="36">
        <v>45916</v>
      </c>
      <c r="B1211" s="34" t="s">
        <v>2104</v>
      </c>
      <c r="C1211" s="34">
        <v>18995607396</v>
      </c>
      <c r="E1211" s="34" t="s">
        <v>968</v>
      </c>
      <c r="F1211" s="34">
        <v>1</v>
      </c>
    </row>
    <row r="1212" customHeight="1" spans="1:6">
      <c r="A1212" s="22">
        <v>45916</v>
      </c>
      <c r="B1212" s="23" t="s">
        <v>2105</v>
      </c>
      <c r="C1212" s="23">
        <v>13163219499</v>
      </c>
      <c r="D1212" s="23"/>
      <c r="E1212" s="23" t="s">
        <v>753</v>
      </c>
      <c r="F1212" s="23">
        <v>1</v>
      </c>
    </row>
    <row r="1213" customHeight="1" spans="1:6">
      <c r="A1213" s="22">
        <v>45916</v>
      </c>
      <c r="B1213" s="23" t="s">
        <v>2106</v>
      </c>
      <c r="C1213" s="23">
        <v>15907101318</v>
      </c>
      <c r="D1213" s="23"/>
      <c r="E1213" s="23" t="s">
        <v>1827</v>
      </c>
      <c r="F1213" s="23">
        <v>1</v>
      </c>
    </row>
    <row r="1214" customHeight="1" spans="1:6">
      <c r="A1214" s="22">
        <v>45917</v>
      </c>
      <c r="B1214" s="23" t="s">
        <v>2107</v>
      </c>
      <c r="C1214" s="23">
        <v>19986634250</v>
      </c>
      <c r="D1214" s="23"/>
      <c r="E1214" s="23" t="s">
        <v>742</v>
      </c>
      <c r="F1214" s="23">
        <v>1</v>
      </c>
    </row>
    <row r="1215" customHeight="1" spans="1:6">
      <c r="A1215" s="22">
        <v>45917</v>
      </c>
      <c r="B1215" s="23" t="s">
        <v>2108</v>
      </c>
      <c r="C1215" s="23">
        <v>15299821792</v>
      </c>
      <c r="D1215" s="23"/>
      <c r="E1215" s="23" t="s">
        <v>1044</v>
      </c>
      <c r="F1215" s="23">
        <v>3</v>
      </c>
    </row>
    <row r="1216" customHeight="1" spans="1:6">
      <c r="A1216" s="22">
        <v>45917</v>
      </c>
      <c r="B1216" s="23" t="s">
        <v>2109</v>
      </c>
      <c r="C1216" s="23">
        <v>18236977266</v>
      </c>
      <c r="D1216" s="23"/>
      <c r="E1216" s="23" t="s">
        <v>968</v>
      </c>
      <c r="F1216" s="23">
        <v>1</v>
      </c>
    </row>
    <row r="1217" customHeight="1" spans="1:6">
      <c r="A1217" s="22">
        <v>45917</v>
      </c>
      <c r="B1217" s="23" t="s">
        <v>2014</v>
      </c>
      <c r="C1217" s="23">
        <v>18260971645</v>
      </c>
      <c r="D1217" s="23"/>
      <c r="E1217" s="23" t="s">
        <v>1046</v>
      </c>
      <c r="F1217" s="23">
        <v>1</v>
      </c>
    </row>
    <row r="1218" customHeight="1" spans="1:6">
      <c r="A1218" s="22">
        <v>45917</v>
      </c>
      <c r="B1218" s="23" t="s">
        <v>2110</v>
      </c>
      <c r="C1218" s="23">
        <v>13098378781</v>
      </c>
      <c r="D1218" s="23"/>
      <c r="E1218" s="23" t="s">
        <v>960</v>
      </c>
      <c r="F1218" s="23">
        <v>1</v>
      </c>
    </row>
    <row r="1219" customHeight="1" spans="1:6">
      <c r="A1219" s="22">
        <v>45917</v>
      </c>
      <c r="B1219" s="23" t="s">
        <v>2111</v>
      </c>
      <c r="C1219" s="23">
        <v>17660169380</v>
      </c>
      <c r="D1219" s="23"/>
      <c r="E1219" s="23" t="s">
        <v>1827</v>
      </c>
      <c r="F1219" s="23">
        <v>1</v>
      </c>
    </row>
    <row r="1220" customHeight="1" spans="1:6">
      <c r="A1220" s="22">
        <v>45917</v>
      </c>
      <c r="B1220" s="23" t="s">
        <v>2112</v>
      </c>
      <c r="C1220" s="23">
        <v>15138988793</v>
      </c>
      <c r="D1220" s="23"/>
      <c r="E1220" s="23" t="s">
        <v>1827</v>
      </c>
      <c r="F1220" s="23">
        <v>1</v>
      </c>
    </row>
    <row r="1221" customHeight="1" spans="1:6">
      <c r="A1221" s="22">
        <v>45917</v>
      </c>
      <c r="B1221" s="23" t="s">
        <v>2113</v>
      </c>
      <c r="C1221" s="23">
        <v>18971739292</v>
      </c>
      <c r="D1221" s="23"/>
      <c r="E1221" s="23" t="s">
        <v>1478</v>
      </c>
      <c r="F1221" s="23">
        <v>1</v>
      </c>
    </row>
    <row r="1222" customHeight="1" spans="1:6">
      <c r="A1222" s="22">
        <v>45918</v>
      </c>
      <c r="B1222" s="23" t="s">
        <v>1192</v>
      </c>
      <c r="C1222" s="23">
        <v>1935119621</v>
      </c>
      <c r="D1222" s="23"/>
      <c r="E1222" s="23" t="s">
        <v>835</v>
      </c>
      <c r="F1222" s="23">
        <v>1</v>
      </c>
    </row>
    <row r="1223" customHeight="1" spans="1:6">
      <c r="A1223" s="22">
        <v>45918</v>
      </c>
      <c r="B1223" s="23" t="s">
        <v>2114</v>
      </c>
      <c r="C1223" s="23">
        <v>18151219986</v>
      </c>
      <c r="D1223" s="23"/>
      <c r="E1223" s="23" t="s">
        <v>1827</v>
      </c>
      <c r="F1223" s="23">
        <v>1</v>
      </c>
    </row>
    <row r="1224" customHeight="1" spans="1:6">
      <c r="A1224" s="22">
        <v>45918</v>
      </c>
      <c r="B1224" s="23" t="s">
        <v>2115</v>
      </c>
      <c r="C1224" s="23">
        <v>13761266566</v>
      </c>
      <c r="D1224" s="23"/>
      <c r="E1224" s="23" t="s">
        <v>960</v>
      </c>
      <c r="F1224" s="23">
        <v>1</v>
      </c>
    </row>
    <row r="1225" customHeight="1" spans="1:6">
      <c r="A1225" s="22">
        <v>45918</v>
      </c>
      <c r="B1225" s="23" t="s">
        <v>2116</v>
      </c>
      <c r="C1225" s="23" t="s">
        <v>2117</v>
      </c>
      <c r="D1225" s="23"/>
      <c r="E1225" s="23" t="s">
        <v>1549</v>
      </c>
      <c r="F1225" s="23">
        <v>1</v>
      </c>
    </row>
    <row r="1226" customHeight="1" spans="1:6">
      <c r="A1226" s="22">
        <v>45918</v>
      </c>
      <c r="B1226" s="23" t="s">
        <v>2118</v>
      </c>
      <c r="C1226" s="23">
        <v>15754865657</v>
      </c>
      <c r="D1226" s="23"/>
      <c r="E1226" s="23" t="s">
        <v>1988</v>
      </c>
      <c r="F1226" s="23">
        <v>1</v>
      </c>
    </row>
    <row r="1227" customHeight="1" spans="1:6">
      <c r="A1227" s="22">
        <v>45918</v>
      </c>
      <c r="B1227" s="23" t="s">
        <v>2119</v>
      </c>
      <c r="C1227" s="23">
        <v>13217189100</v>
      </c>
      <c r="D1227" s="23"/>
      <c r="E1227" s="23" t="s">
        <v>1553</v>
      </c>
      <c r="F1227" s="23">
        <v>1</v>
      </c>
    </row>
    <row r="1228" customHeight="1" spans="1:6">
      <c r="A1228" s="22">
        <v>45918</v>
      </c>
      <c r="B1228" s="23" t="s">
        <v>2120</v>
      </c>
      <c r="C1228" s="23">
        <v>13367280929</v>
      </c>
      <c r="D1228" s="23"/>
      <c r="E1228" s="23" t="s">
        <v>838</v>
      </c>
      <c r="F1228" s="23">
        <v>1</v>
      </c>
    </row>
    <row r="1229" customHeight="1" spans="1:6">
      <c r="A1229" s="22">
        <v>45918</v>
      </c>
      <c r="B1229" s="23" t="s">
        <v>2121</v>
      </c>
      <c r="C1229" s="23">
        <v>18821968204</v>
      </c>
      <c r="D1229" s="23"/>
      <c r="E1229" s="23" t="s">
        <v>960</v>
      </c>
      <c r="F1229" s="23">
        <v>1</v>
      </c>
    </row>
    <row r="1230" customHeight="1" spans="1:6">
      <c r="A1230" s="22">
        <v>45918</v>
      </c>
      <c r="B1230" s="23" t="s">
        <v>2122</v>
      </c>
      <c r="C1230" s="23">
        <v>13407250618</v>
      </c>
      <c r="D1230" s="23"/>
      <c r="E1230" s="23" t="s">
        <v>1478</v>
      </c>
      <c r="F1230" s="23">
        <v>1</v>
      </c>
    </row>
    <row r="1231" customHeight="1" spans="1:6">
      <c r="A1231" s="22">
        <v>45918</v>
      </c>
      <c r="B1231" s="23" t="s">
        <v>2123</v>
      </c>
      <c r="C1231" s="23">
        <v>17387076182</v>
      </c>
      <c r="D1231" s="23"/>
      <c r="E1231" s="23" t="s">
        <v>1478</v>
      </c>
      <c r="F1231" s="23">
        <v>1</v>
      </c>
    </row>
    <row r="1232" customHeight="1" spans="1:6">
      <c r="A1232" s="22">
        <v>45918</v>
      </c>
      <c r="B1232" s="23" t="s">
        <v>2124</v>
      </c>
      <c r="C1232" s="23">
        <v>18637662820</v>
      </c>
      <c r="D1232" s="23"/>
      <c r="E1232" s="23" t="s">
        <v>968</v>
      </c>
      <c r="F1232" s="23">
        <v>1</v>
      </c>
    </row>
    <row r="1233" customHeight="1" spans="1:6">
      <c r="A1233" s="22">
        <v>45918</v>
      </c>
      <c r="B1233" s="23" t="s">
        <v>2125</v>
      </c>
      <c r="C1233" s="23">
        <v>15910461561</v>
      </c>
      <c r="D1233" s="23"/>
      <c r="E1233" s="23" t="s">
        <v>800</v>
      </c>
      <c r="F1233" s="23">
        <v>1</v>
      </c>
    </row>
    <row r="1234" customHeight="1" spans="1:6">
      <c r="A1234" s="22">
        <v>45918</v>
      </c>
      <c r="B1234" s="23" t="s">
        <v>2121</v>
      </c>
      <c r="C1234" s="23">
        <v>18821968204</v>
      </c>
      <c r="D1234" s="23"/>
      <c r="E1234" s="23" t="s">
        <v>725</v>
      </c>
      <c r="F1234" s="23">
        <v>2</v>
      </c>
    </row>
    <row r="1235" customHeight="1" spans="1:6">
      <c r="A1235" s="22">
        <v>45918</v>
      </c>
      <c r="B1235" s="23" t="s">
        <v>2122</v>
      </c>
      <c r="C1235" s="23">
        <v>13407250618</v>
      </c>
      <c r="D1235" s="23"/>
      <c r="E1235" s="23" t="s">
        <v>725</v>
      </c>
      <c r="F1235" s="23">
        <v>2</v>
      </c>
    </row>
    <row r="1236" customHeight="1" spans="1:6">
      <c r="A1236" s="22">
        <v>45918</v>
      </c>
      <c r="B1236" s="23" t="s">
        <v>2126</v>
      </c>
      <c r="C1236" s="23">
        <v>19055105508</v>
      </c>
      <c r="D1236" s="23"/>
      <c r="E1236" s="23" t="s">
        <v>831</v>
      </c>
      <c r="F1236" s="23">
        <v>1</v>
      </c>
    </row>
    <row r="1237" customHeight="1" spans="1:6">
      <c r="A1237" s="22">
        <v>45918</v>
      </c>
      <c r="B1237" s="23" t="s">
        <v>2127</v>
      </c>
      <c r="C1237" s="23">
        <v>15871987789</v>
      </c>
      <c r="D1237" s="23"/>
      <c r="E1237" s="23" t="s">
        <v>1553</v>
      </c>
      <c r="F1237" s="23">
        <v>1</v>
      </c>
    </row>
    <row r="1238" customHeight="1" spans="1:6">
      <c r="A1238" s="22">
        <v>45918</v>
      </c>
      <c r="B1238" s="26" t="s">
        <v>2128</v>
      </c>
      <c r="C1238" s="26">
        <v>18771881346</v>
      </c>
      <c r="D1238" s="23"/>
      <c r="E1238" s="23" t="s">
        <v>773</v>
      </c>
      <c r="F1238" s="23">
        <v>1</v>
      </c>
    </row>
    <row r="1239" customHeight="1" spans="1:6">
      <c r="A1239" s="22">
        <v>45918</v>
      </c>
      <c r="B1239" s="23" t="s">
        <v>2129</v>
      </c>
      <c r="C1239" s="23">
        <v>15207723385</v>
      </c>
      <c r="D1239" s="23"/>
      <c r="E1239" s="23" t="s">
        <v>960</v>
      </c>
      <c r="F1239" s="23">
        <v>1</v>
      </c>
    </row>
    <row r="1240" customHeight="1" spans="1:6">
      <c r="A1240" s="22">
        <v>45919</v>
      </c>
      <c r="B1240" s="23" t="s">
        <v>2130</v>
      </c>
      <c r="C1240" s="23">
        <v>17652689070</v>
      </c>
      <c r="D1240" s="23"/>
      <c r="E1240" s="23" t="s">
        <v>797</v>
      </c>
      <c r="F1240" s="23">
        <v>1</v>
      </c>
    </row>
    <row r="1241" customHeight="1" spans="1:6">
      <c r="A1241" s="22">
        <v>45919</v>
      </c>
      <c r="B1241" s="23" t="s">
        <v>2131</v>
      </c>
      <c r="C1241" s="23">
        <v>13091400386</v>
      </c>
      <c r="D1241" s="23"/>
      <c r="E1241" s="23" t="s">
        <v>1827</v>
      </c>
      <c r="F1241" s="23">
        <v>1</v>
      </c>
    </row>
    <row r="1242" customHeight="1" spans="1:6">
      <c r="A1242" s="22">
        <v>45919</v>
      </c>
      <c r="B1242" s="23" t="s">
        <v>2132</v>
      </c>
      <c r="C1242" s="23">
        <v>18074737450</v>
      </c>
      <c r="D1242" s="23"/>
      <c r="E1242" s="23" t="s">
        <v>876</v>
      </c>
      <c r="F1242" s="23">
        <v>1</v>
      </c>
    </row>
    <row r="1243" customHeight="1" spans="1:6">
      <c r="A1243" s="22">
        <v>45919</v>
      </c>
      <c r="B1243" s="23" t="s">
        <v>2133</v>
      </c>
      <c r="C1243" s="23">
        <v>19589558463</v>
      </c>
      <c r="D1243" s="23"/>
      <c r="E1243" s="23" t="s">
        <v>876</v>
      </c>
      <c r="F1243" s="23">
        <v>1</v>
      </c>
    </row>
    <row r="1244" customHeight="1" spans="1:6">
      <c r="A1244" s="22">
        <v>45919</v>
      </c>
      <c r="B1244" s="23" t="s">
        <v>2134</v>
      </c>
      <c r="C1244" s="23">
        <v>18280098031</v>
      </c>
      <c r="D1244" s="23"/>
      <c r="E1244" s="23" t="s">
        <v>800</v>
      </c>
      <c r="F1244" s="23">
        <v>1</v>
      </c>
    </row>
    <row r="1245" customHeight="1" spans="1:6">
      <c r="A1245" s="22">
        <v>45919</v>
      </c>
      <c r="B1245" s="23" t="s">
        <v>2135</v>
      </c>
      <c r="C1245" s="23">
        <v>1571577805</v>
      </c>
      <c r="D1245" s="23"/>
      <c r="E1245" s="23" t="s">
        <v>797</v>
      </c>
      <c r="F1245" s="23">
        <v>1</v>
      </c>
    </row>
    <row r="1246" customHeight="1" spans="1:6">
      <c r="A1246" s="22">
        <v>45919</v>
      </c>
      <c r="B1246" s="23" t="s">
        <v>2136</v>
      </c>
      <c r="C1246" s="23">
        <v>13732396472</v>
      </c>
      <c r="D1246" s="23"/>
      <c r="E1246" s="23" t="s">
        <v>797</v>
      </c>
      <c r="F1246" s="23">
        <v>1</v>
      </c>
    </row>
    <row r="1247" customHeight="1" spans="1:6">
      <c r="A1247" s="22">
        <v>45919</v>
      </c>
      <c r="B1247" s="23" t="s">
        <v>2137</v>
      </c>
      <c r="C1247" s="23">
        <v>15356223386</v>
      </c>
      <c r="D1247" s="23"/>
      <c r="E1247" s="23" t="s">
        <v>980</v>
      </c>
      <c r="F1247" s="23">
        <v>1</v>
      </c>
    </row>
    <row r="1248" customHeight="1" spans="1:6">
      <c r="A1248" s="22">
        <v>45919</v>
      </c>
      <c r="B1248" s="23" t="s">
        <v>2138</v>
      </c>
      <c r="C1248" s="23">
        <v>17767350559</v>
      </c>
      <c r="D1248" s="23"/>
      <c r="E1248" s="23" t="s">
        <v>968</v>
      </c>
      <c r="F1248" s="23">
        <v>1</v>
      </c>
    </row>
    <row r="1249" customHeight="1" spans="1:6">
      <c r="A1249" s="22">
        <v>45919</v>
      </c>
      <c r="B1249" s="23" t="s">
        <v>2139</v>
      </c>
      <c r="C1249" s="23">
        <v>15671628796</v>
      </c>
      <c r="D1249" s="23"/>
      <c r="E1249" s="23" t="s">
        <v>753</v>
      </c>
      <c r="F1249" s="23">
        <v>1</v>
      </c>
    </row>
    <row r="1250" customHeight="1" spans="1:6">
      <c r="A1250" s="22">
        <v>45919</v>
      </c>
      <c r="B1250" s="23" t="s">
        <v>2140</v>
      </c>
      <c r="C1250" s="23">
        <v>13985759213</v>
      </c>
      <c r="D1250" s="23"/>
      <c r="E1250" s="23" t="s">
        <v>1478</v>
      </c>
      <c r="F1250" s="23">
        <v>1</v>
      </c>
    </row>
    <row r="1251" customHeight="1" spans="1:6">
      <c r="A1251" s="22">
        <v>45919</v>
      </c>
      <c r="B1251" s="23" t="s">
        <v>2141</v>
      </c>
      <c r="C1251" s="23">
        <v>18872421358</v>
      </c>
      <c r="D1251" s="23"/>
      <c r="E1251" s="23" t="s">
        <v>2142</v>
      </c>
      <c r="F1251" s="23">
        <v>3</v>
      </c>
    </row>
    <row r="1252" customHeight="1" spans="1:6">
      <c r="A1252" s="22">
        <v>45919</v>
      </c>
      <c r="B1252" s="23" t="s">
        <v>2143</v>
      </c>
      <c r="C1252" s="23">
        <v>18971533359</v>
      </c>
      <c r="D1252" s="23"/>
      <c r="E1252" s="23" t="s">
        <v>2144</v>
      </c>
      <c r="F1252" s="23">
        <v>3</v>
      </c>
    </row>
    <row r="1253" customHeight="1" spans="1:6">
      <c r="A1253" s="22">
        <v>45919</v>
      </c>
      <c r="B1253" s="23" t="s">
        <v>2145</v>
      </c>
      <c r="C1253" s="23">
        <v>17817784092</v>
      </c>
      <c r="D1253" s="23"/>
      <c r="E1253" s="23" t="s">
        <v>980</v>
      </c>
      <c r="F1253" s="23">
        <v>1</v>
      </c>
    </row>
    <row r="1254" customHeight="1" spans="1:6">
      <c r="A1254" s="22">
        <v>45920</v>
      </c>
      <c r="B1254" s="23" t="s">
        <v>2146</v>
      </c>
      <c r="C1254" s="23">
        <v>15116293947</v>
      </c>
      <c r="D1254" s="23"/>
      <c r="E1254" s="23" t="s">
        <v>1478</v>
      </c>
      <c r="F1254" s="23">
        <v>1</v>
      </c>
    </row>
    <row r="1255" customHeight="1" spans="1:6">
      <c r="A1255" s="22">
        <v>45920</v>
      </c>
      <c r="B1255" s="23" t="s">
        <v>2147</v>
      </c>
      <c r="C1255" s="23">
        <v>15827427000</v>
      </c>
      <c r="D1255" s="23"/>
      <c r="E1255" s="23" t="s">
        <v>980</v>
      </c>
      <c r="F1255" s="23">
        <v>1</v>
      </c>
    </row>
    <row r="1256" customHeight="1" spans="1:6">
      <c r="A1256" s="22">
        <v>45920</v>
      </c>
      <c r="B1256" s="23" t="s">
        <v>2148</v>
      </c>
      <c r="C1256" s="23">
        <v>17786744885</v>
      </c>
      <c r="D1256" s="23"/>
      <c r="E1256" s="23" t="s">
        <v>2149</v>
      </c>
      <c r="F1256" s="23">
        <v>3</v>
      </c>
    </row>
    <row r="1257" customHeight="1" spans="1:6">
      <c r="A1257" s="22">
        <v>45920</v>
      </c>
      <c r="B1257" s="23" t="s">
        <v>2150</v>
      </c>
      <c r="C1257" s="23">
        <v>15298923689</v>
      </c>
      <c r="D1257" s="23"/>
      <c r="E1257" s="23" t="s">
        <v>960</v>
      </c>
      <c r="F1257" s="23">
        <v>1</v>
      </c>
    </row>
    <row r="1258" customHeight="1" spans="1:6">
      <c r="A1258" s="22">
        <v>45920</v>
      </c>
      <c r="B1258" s="23" t="s">
        <v>2151</v>
      </c>
      <c r="C1258" s="23">
        <v>18671445159</v>
      </c>
      <c r="D1258" s="23"/>
      <c r="E1258" s="23" t="s">
        <v>742</v>
      </c>
      <c r="F1258" s="23">
        <v>1</v>
      </c>
    </row>
    <row r="1259" customHeight="1" spans="1:6">
      <c r="A1259" s="22">
        <v>45920</v>
      </c>
      <c r="B1259" s="23" t="s">
        <v>2152</v>
      </c>
      <c r="C1259" s="23">
        <v>18897888363</v>
      </c>
      <c r="D1259" s="23"/>
      <c r="E1259" s="23" t="s">
        <v>835</v>
      </c>
      <c r="F1259" s="23">
        <v>1</v>
      </c>
    </row>
    <row r="1260" customHeight="1" spans="1:6">
      <c r="A1260" s="22">
        <v>45920</v>
      </c>
      <c r="B1260" s="23" t="s">
        <v>2153</v>
      </c>
      <c r="C1260" s="23">
        <v>13770409528</v>
      </c>
      <c r="D1260" s="23"/>
      <c r="E1260" s="23" t="s">
        <v>797</v>
      </c>
      <c r="F1260" s="23">
        <v>1</v>
      </c>
    </row>
    <row r="1261" customHeight="1" spans="1:6">
      <c r="A1261" s="22">
        <v>45920</v>
      </c>
      <c r="B1261" s="23" t="s">
        <v>1940</v>
      </c>
      <c r="C1261" s="23">
        <v>15540435836</v>
      </c>
      <c r="D1261" s="23"/>
      <c r="E1261" s="23" t="s">
        <v>2022</v>
      </c>
      <c r="F1261" s="23">
        <v>1</v>
      </c>
    </row>
    <row r="1262" customHeight="1" spans="1:6">
      <c r="A1262" s="22">
        <v>45920</v>
      </c>
      <c r="B1262" s="23" t="s">
        <v>2154</v>
      </c>
      <c r="C1262" s="23">
        <v>18372038933</v>
      </c>
      <c r="D1262" s="23"/>
      <c r="E1262" s="23" t="s">
        <v>797</v>
      </c>
      <c r="F1262" s="23">
        <v>1</v>
      </c>
    </row>
    <row r="1263" customHeight="1" spans="1:6">
      <c r="A1263" s="22">
        <v>45920</v>
      </c>
      <c r="B1263" s="23" t="s">
        <v>2155</v>
      </c>
      <c r="C1263" s="23">
        <v>15331550687</v>
      </c>
      <c r="D1263" s="23"/>
      <c r="E1263" s="23" t="s">
        <v>2156</v>
      </c>
      <c r="F1263" s="23">
        <v>1</v>
      </c>
    </row>
    <row r="1264" customHeight="1" spans="1:6">
      <c r="A1264" s="22">
        <v>45920</v>
      </c>
      <c r="B1264" s="23" t="s">
        <v>2157</v>
      </c>
      <c r="C1264" s="23">
        <v>15971725510</v>
      </c>
      <c r="D1264" s="23"/>
      <c r="E1264" s="23" t="s">
        <v>2022</v>
      </c>
      <c r="F1264" s="23">
        <v>1</v>
      </c>
    </row>
    <row r="1265" customHeight="1" spans="1:6">
      <c r="A1265" s="22">
        <v>45920</v>
      </c>
      <c r="B1265" s="23" t="s">
        <v>2158</v>
      </c>
      <c r="C1265" s="23">
        <v>15527903510</v>
      </c>
      <c r="D1265" s="23"/>
      <c r="E1265" s="23" t="s">
        <v>2022</v>
      </c>
      <c r="F1265" s="23">
        <v>1</v>
      </c>
    </row>
    <row r="1266" customHeight="1" spans="1:6">
      <c r="A1266" s="22">
        <v>45920</v>
      </c>
      <c r="B1266" s="23" t="s">
        <v>2159</v>
      </c>
      <c r="C1266" s="23">
        <v>18869442356</v>
      </c>
      <c r="D1266" s="23"/>
      <c r="E1266" s="23" t="s">
        <v>835</v>
      </c>
      <c r="F1266" s="23">
        <v>1</v>
      </c>
    </row>
    <row r="1267" customHeight="1" spans="1:6">
      <c r="A1267" s="22">
        <v>45920</v>
      </c>
      <c r="B1267" s="23" t="s">
        <v>2160</v>
      </c>
      <c r="C1267" s="23">
        <v>18164075117</v>
      </c>
      <c r="D1267" s="23"/>
      <c r="E1267" s="23" t="s">
        <v>773</v>
      </c>
      <c r="F1267" s="23">
        <v>1</v>
      </c>
    </row>
    <row r="1268" customHeight="1" spans="1:6">
      <c r="A1268" s="22">
        <v>45920</v>
      </c>
      <c r="B1268" s="23" t="s">
        <v>2161</v>
      </c>
      <c r="C1268" s="23">
        <v>13072705617</v>
      </c>
      <c r="D1268" s="23"/>
      <c r="E1268" s="23" t="s">
        <v>2022</v>
      </c>
      <c r="F1268" s="23">
        <v>1</v>
      </c>
    </row>
    <row r="1269" customHeight="1" spans="1:6">
      <c r="A1269" s="22">
        <v>45920</v>
      </c>
      <c r="B1269" s="23" t="s">
        <v>2162</v>
      </c>
      <c r="C1269" s="23">
        <v>18971739292</v>
      </c>
      <c r="D1269" s="23"/>
      <c r="E1269" s="23" t="s">
        <v>2022</v>
      </c>
      <c r="F1269" s="23">
        <v>1</v>
      </c>
    </row>
    <row r="1270" customHeight="1" spans="1:6">
      <c r="A1270" s="22">
        <v>45920</v>
      </c>
      <c r="B1270" s="23" t="s">
        <v>2163</v>
      </c>
      <c r="C1270" s="23">
        <v>15672432280</v>
      </c>
      <c r="D1270" s="23"/>
      <c r="E1270" s="23" t="s">
        <v>968</v>
      </c>
      <c r="F1270" s="23">
        <v>1</v>
      </c>
    </row>
    <row r="1271" customHeight="1" spans="1:6">
      <c r="A1271" s="22">
        <v>45920</v>
      </c>
      <c r="B1271" s="23" t="s">
        <v>2164</v>
      </c>
      <c r="C1271" s="23">
        <v>18610198297</v>
      </c>
      <c r="D1271" s="23"/>
      <c r="E1271" s="23" t="s">
        <v>800</v>
      </c>
      <c r="F1271" s="23">
        <v>1</v>
      </c>
    </row>
    <row r="1272" customHeight="1" spans="1:6">
      <c r="A1272" s="22">
        <v>45920</v>
      </c>
      <c r="B1272" s="23" t="s">
        <v>2165</v>
      </c>
      <c r="C1272" s="23">
        <v>18086223705</v>
      </c>
      <c r="D1272" s="23"/>
      <c r="E1272" s="23" t="s">
        <v>2166</v>
      </c>
      <c r="F1272" s="23">
        <v>2</v>
      </c>
    </row>
    <row r="1273" customHeight="1" spans="1:6">
      <c r="A1273" s="22">
        <v>45921</v>
      </c>
      <c r="B1273" s="29" t="s">
        <v>2167</v>
      </c>
      <c r="C1273" s="29">
        <v>15071202316</v>
      </c>
      <c r="D1273" s="23"/>
      <c r="E1273" s="23" t="s">
        <v>835</v>
      </c>
      <c r="F1273" s="23">
        <v>1</v>
      </c>
    </row>
    <row r="1274" customHeight="1" spans="1:6">
      <c r="A1274" s="22">
        <v>45921</v>
      </c>
      <c r="B1274" s="23" t="s">
        <v>2168</v>
      </c>
      <c r="C1274" s="23">
        <v>15997790125</v>
      </c>
      <c r="D1274" s="23"/>
      <c r="E1274" s="23" t="s">
        <v>876</v>
      </c>
      <c r="F1274" s="23">
        <v>1</v>
      </c>
    </row>
    <row r="1275" customHeight="1" spans="1:6">
      <c r="A1275" s="22">
        <v>45921</v>
      </c>
      <c r="B1275" s="23" t="s">
        <v>2169</v>
      </c>
      <c r="C1275" s="23">
        <v>19947828543</v>
      </c>
      <c r="D1275" s="23"/>
      <c r="E1275" s="23" t="s">
        <v>835</v>
      </c>
      <c r="F1275" s="23">
        <v>1</v>
      </c>
    </row>
    <row r="1276" customHeight="1" spans="1:6">
      <c r="A1276" s="22">
        <v>45921</v>
      </c>
      <c r="B1276" s="29" t="s">
        <v>2170</v>
      </c>
      <c r="C1276" s="29">
        <v>19371051303</v>
      </c>
      <c r="D1276" s="23"/>
      <c r="E1276" s="23" t="s">
        <v>1827</v>
      </c>
      <c r="F1276" s="23">
        <v>1</v>
      </c>
    </row>
    <row r="1277" customHeight="1" spans="1:6">
      <c r="A1277" s="22">
        <v>45921</v>
      </c>
      <c r="B1277" s="23" t="s">
        <v>2171</v>
      </c>
      <c r="C1277" s="23">
        <v>13476000731</v>
      </c>
      <c r="D1277" s="23"/>
      <c r="E1277" s="23" t="s">
        <v>797</v>
      </c>
      <c r="F1277" s="23">
        <v>1</v>
      </c>
    </row>
    <row r="1278" customHeight="1" spans="1:6">
      <c r="A1278" s="22">
        <v>45921</v>
      </c>
      <c r="B1278" s="26" t="s">
        <v>2172</v>
      </c>
      <c r="C1278" s="26">
        <v>17663277426</v>
      </c>
      <c r="D1278" s="23"/>
      <c r="E1278" s="23" t="s">
        <v>2173</v>
      </c>
      <c r="F1278" s="23">
        <v>2</v>
      </c>
    </row>
    <row r="1279" customHeight="1" spans="1:6">
      <c r="A1279" s="22">
        <v>45921</v>
      </c>
      <c r="B1279" s="26" t="s">
        <v>2174</v>
      </c>
      <c r="C1279" s="26">
        <v>13808184901</v>
      </c>
      <c r="D1279" s="23"/>
      <c r="E1279" s="23" t="s">
        <v>2175</v>
      </c>
      <c r="F1279" s="23">
        <v>1</v>
      </c>
    </row>
    <row r="1280" customHeight="1" spans="1:6">
      <c r="A1280" s="22">
        <v>45921</v>
      </c>
      <c r="B1280" s="26" t="s">
        <v>2176</v>
      </c>
      <c r="C1280" s="26">
        <v>18971677090</v>
      </c>
      <c r="D1280" s="23"/>
      <c r="E1280" s="23" t="s">
        <v>835</v>
      </c>
      <c r="F1280" s="23">
        <v>1</v>
      </c>
    </row>
    <row r="1281" customHeight="1" spans="1:6">
      <c r="A1281" s="22">
        <v>45921</v>
      </c>
      <c r="B1281" s="26" t="s">
        <v>2177</v>
      </c>
      <c r="C1281" s="26">
        <v>13429865537</v>
      </c>
      <c r="D1281" s="23"/>
      <c r="E1281" s="23" t="s">
        <v>980</v>
      </c>
      <c r="F1281" s="23">
        <v>1</v>
      </c>
    </row>
    <row r="1282" customHeight="1" spans="1:6">
      <c r="A1282" s="22">
        <v>45921</v>
      </c>
      <c r="B1282" s="26" t="s">
        <v>2178</v>
      </c>
      <c r="C1282" s="26">
        <v>19972635678</v>
      </c>
      <c r="D1282" s="23"/>
      <c r="E1282" s="23" t="s">
        <v>800</v>
      </c>
      <c r="F1282" s="23">
        <v>1</v>
      </c>
    </row>
    <row r="1283" customHeight="1" spans="1:6">
      <c r="A1283" s="22">
        <v>45921</v>
      </c>
      <c r="B1283" s="26" t="s">
        <v>2179</v>
      </c>
      <c r="C1283" s="26">
        <v>18260558316</v>
      </c>
      <c r="D1283" s="23"/>
      <c r="E1283" s="23" t="s">
        <v>800</v>
      </c>
      <c r="F1283" s="23">
        <v>1</v>
      </c>
    </row>
    <row r="1284" customHeight="1" spans="1:6">
      <c r="A1284" s="22">
        <v>45921</v>
      </c>
      <c r="B1284" s="23" t="s">
        <v>2180</v>
      </c>
      <c r="C1284" s="23">
        <v>15755112158</v>
      </c>
      <c r="D1284" s="23"/>
      <c r="E1284" s="23" t="s">
        <v>1064</v>
      </c>
      <c r="F1284" s="23">
        <v>1</v>
      </c>
    </row>
    <row r="1285" customHeight="1" spans="1:6">
      <c r="A1285" s="22">
        <v>45921</v>
      </c>
      <c r="B1285" s="23" t="s">
        <v>2181</v>
      </c>
      <c r="C1285" s="23">
        <v>18338208792</v>
      </c>
      <c r="D1285" s="23"/>
      <c r="E1285" s="23" t="s">
        <v>800</v>
      </c>
      <c r="F1285" s="23">
        <v>1</v>
      </c>
    </row>
    <row r="1286" customHeight="1" spans="1:6">
      <c r="A1286" s="22">
        <v>45922</v>
      </c>
      <c r="B1286" s="26" t="s">
        <v>2182</v>
      </c>
      <c r="C1286" s="26">
        <v>17386113772</v>
      </c>
      <c r="D1286" s="23"/>
      <c r="E1286" s="23" t="s">
        <v>1827</v>
      </c>
      <c r="F1286" s="23">
        <v>1</v>
      </c>
    </row>
    <row r="1287" customHeight="1" spans="1:6">
      <c r="A1287" s="22">
        <v>45922</v>
      </c>
      <c r="B1287" s="26" t="s">
        <v>2183</v>
      </c>
      <c r="C1287" s="26">
        <v>1764562408</v>
      </c>
      <c r="D1287" s="23"/>
      <c r="E1287" s="23" t="s">
        <v>2184</v>
      </c>
      <c r="F1287" s="23">
        <v>2</v>
      </c>
    </row>
    <row r="1288" customHeight="1" spans="1:6">
      <c r="A1288" s="22">
        <v>45922</v>
      </c>
      <c r="B1288" s="26" t="s">
        <v>2185</v>
      </c>
      <c r="C1288" s="26">
        <v>15874427781</v>
      </c>
      <c r="D1288" s="23"/>
      <c r="E1288" s="23" t="s">
        <v>835</v>
      </c>
      <c r="F1288" s="23">
        <v>1</v>
      </c>
    </row>
    <row r="1289" customHeight="1" spans="1:6">
      <c r="A1289" s="22">
        <v>45922</v>
      </c>
      <c r="B1289" s="26" t="s">
        <v>2186</v>
      </c>
      <c r="C1289" s="26">
        <v>13311351197</v>
      </c>
      <c r="D1289" s="23"/>
      <c r="E1289" s="23" t="s">
        <v>980</v>
      </c>
      <c r="F1289" s="23">
        <v>1</v>
      </c>
    </row>
    <row r="1290" customHeight="1" spans="1:6">
      <c r="A1290" s="22">
        <v>45922</v>
      </c>
      <c r="B1290" s="26" t="s">
        <v>2187</v>
      </c>
      <c r="C1290" s="26">
        <v>13720333243</v>
      </c>
      <c r="D1290" s="23"/>
      <c r="E1290" s="23" t="s">
        <v>1827</v>
      </c>
      <c r="F1290" s="23">
        <v>1</v>
      </c>
    </row>
    <row r="1291" customHeight="1" spans="1:6">
      <c r="A1291" s="22">
        <v>45922</v>
      </c>
      <c r="B1291" s="29" t="s">
        <v>2188</v>
      </c>
      <c r="C1291" s="29">
        <v>13207272310</v>
      </c>
      <c r="D1291" s="23"/>
      <c r="E1291" s="23" t="s">
        <v>1064</v>
      </c>
      <c r="F1291" s="23">
        <v>1</v>
      </c>
    </row>
    <row r="1292" customHeight="1" spans="1:6">
      <c r="A1292" s="22">
        <v>45922</v>
      </c>
      <c r="B1292" s="23" t="s">
        <v>2189</v>
      </c>
      <c r="C1292" s="23">
        <v>19727152119</v>
      </c>
      <c r="D1292" s="23"/>
      <c r="E1292" s="23" t="s">
        <v>980</v>
      </c>
      <c r="F1292" s="23">
        <v>1</v>
      </c>
    </row>
    <row r="1293" customHeight="1" spans="1:6">
      <c r="A1293" s="22">
        <v>45922</v>
      </c>
      <c r="B1293" s="26" t="s">
        <v>2190</v>
      </c>
      <c r="C1293" s="26">
        <v>13728912441</v>
      </c>
      <c r="D1293" s="23"/>
      <c r="E1293" s="23" t="s">
        <v>797</v>
      </c>
      <c r="F1293" s="23">
        <v>1</v>
      </c>
    </row>
    <row r="1294" customHeight="1" spans="1:6">
      <c r="A1294" s="22">
        <v>45922</v>
      </c>
      <c r="B1294" s="29" t="s">
        <v>2191</v>
      </c>
      <c r="C1294" s="26">
        <v>18935557956</v>
      </c>
      <c r="D1294" s="23"/>
      <c r="E1294" s="23" t="s">
        <v>1988</v>
      </c>
      <c r="F1294" s="23">
        <v>1</v>
      </c>
    </row>
    <row r="1295" customHeight="1" spans="1:6">
      <c r="A1295" s="22">
        <v>45922</v>
      </c>
      <c r="B1295" s="23" t="s">
        <v>2192</v>
      </c>
      <c r="C1295" s="23">
        <v>18794399528</v>
      </c>
      <c r="D1295" s="23"/>
      <c r="E1295" s="23" t="s">
        <v>968</v>
      </c>
      <c r="F1295" s="23">
        <v>1</v>
      </c>
    </row>
    <row r="1296" customHeight="1" spans="1:6">
      <c r="A1296" s="22">
        <v>45922</v>
      </c>
      <c r="B1296" s="23" t="s">
        <v>2193</v>
      </c>
      <c r="C1296" s="23">
        <v>13579160670</v>
      </c>
      <c r="D1296" s="23"/>
      <c r="E1296" s="23" t="s">
        <v>753</v>
      </c>
      <c r="F1296" s="23">
        <v>1</v>
      </c>
    </row>
    <row r="1297" customHeight="1" spans="1:6">
      <c r="A1297" s="22">
        <v>45922</v>
      </c>
      <c r="B1297" s="23" t="s">
        <v>2194</v>
      </c>
      <c r="C1297" s="23">
        <v>19219559068</v>
      </c>
      <c r="D1297" s="23"/>
      <c r="E1297" s="23" t="s">
        <v>797</v>
      </c>
      <c r="F1297" s="23">
        <v>1</v>
      </c>
    </row>
    <row r="1298" customHeight="1" spans="1:6">
      <c r="A1298" s="22">
        <v>45922</v>
      </c>
      <c r="B1298" s="23" t="s">
        <v>2195</v>
      </c>
      <c r="C1298" s="23">
        <v>15007446725</v>
      </c>
      <c r="D1298" s="23"/>
      <c r="E1298" s="23" t="s">
        <v>980</v>
      </c>
      <c r="F1298" s="23">
        <v>1</v>
      </c>
    </row>
    <row r="1299" customHeight="1" spans="1:6">
      <c r="A1299" s="22">
        <v>45923</v>
      </c>
      <c r="B1299" s="26" t="s">
        <v>2196</v>
      </c>
      <c r="C1299" s="26">
        <v>18717119604</v>
      </c>
      <c r="D1299" s="23"/>
      <c r="E1299" s="23" t="s">
        <v>980</v>
      </c>
      <c r="F1299" s="23">
        <v>1</v>
      </c>
    </row>
    <row r="1300" customHeight="1" spans="1:6">
      <c r="A1300" s="22">
        <v>45923</v>
      </c>
      <c r="B1300" s="26" t="s">
        <v>2197</v>
      </c>
      <c r="C1300" s="26">
        <v>13659878353</v>
      </c>
      <c r="D1300" s="23"/>
      <c r="E1300" s="23" t="s">
        <v>1966</v>
      </c>
      <c r="F1300" s="23">
        <v>1</v>
      </c>
    </row>
    <row r="1301" customHeight="1" spans="1:6">
      <c r="A1301" s="22">
        <v>45923</v>
      </c>
      <c r="B1301" s="26" t="s">
        <v>2198</v>
      </c>
      <c r="C1301" s="26">
        <v>18607140620</v>
      </c>
      <c r="D1301" s="23"/>
      <c r="E1301" s="23" t="s">
        <v>1988</v>
      </c>
      <c r="F1301" s="23">
        <v>1</v>
      </c>
    </row>
    <row r="1302" customHeight="1" spans="1:6">
      <c r="A1302" s="22">
        <v>45923</v>
      </c>
      <c r="B1302" s="26" t="s">
        <v>2199</v>
      </c>
      <c r="C1302" s="26">
        <v>18137185921</v>
      </c>
      <c r="D1302" s="23"/>
      <c r="E1302" s="23" t="s">
        <v>980</v>
      </c>
      <c r="F1302" s="23">
        <v>1</v>
      </c>
    </row>
    <row r="1303" customHeight="1" spans="1:6">
      <c r="A1303" s="22">
        <v>45923</v>
      </c>
      <c r="B1303" s="26" t="s">
        <v>2200</v>
      </c>
      <c r="C1303" s="26">
        <v>15672638999</v>
      </c>
      <c r="D1303" s="23"/>
      <c r="E1303" s="23" t="s">
        <v>980</v>
      </c>
      <c r="F1303" s="23">
        <v>1</v>
      </c>
    </row>
    <row r="1304" customHeight="1" spans="1:6">
      <c r="A1304" s="22">
        <v>45923</v>
      </c>
      <c r="B1304" s="26" t="s">
        <v>2201</v>
      </c>
      <c r="C1304" s="26">
        <v>13206365275</v>
      </c>
      <c r="D1304" s="23"/>
      <c r="E1304" s="23" t="s">
        <v>876</v>
      </c>
      <c r="F1304" s="23">
        <v>1</v>
      </c>
    </row>
    <row r="1305" customHeight="1" spans="1:6">
      <c r="A1305" s="22">
        <v>45923</v>
      </c>
      <c r="B1305" s="26" t="s">
        <v>2202</v>
      </c>
      <c r="C1305" s="26">
        <v>13009648726</v>
      </c>
      <c r="D1305" s="23"/>
      <c r="E1305" s="23" t="s">
        <v>797</v>
      </c>
      <c r="F1305" s="23">
        <v>1</v>
      </c>
    </row>
    <row r="1306" customHeight="1" spans="1:6">
      <c r="A1306" s="22">
        <v>45923</v>
      </c>
      <c r="B1306" s="26" t="s">
        <v>2203</v>
      </c>
      <c r="C1306" s="26">
        <v>18075212304</v>
      </c>
      <c r="D1306" s="23"/>
      <c r="E1306" s="23" t="s">
        <v>831</v>
      </c>
      <c r="F1306" s="23">
        <v>1</v>
      </c>
    </row>
    <row r="1307" customHeight="1" spans="1:6">
      <c r="A1307" s="22">
        <v>45923</v>
      </c>
      <c r="B1307" s="26" t="s">
        <v>2204</v>
      </c>
      <c r="C1307" s="26">
        <v>18287310164</v>
      </c>
      <c r="D1307" s="23"/>
      <c r="E1307" s="23" t="s">
        <v>800</v>
      </c>
      <c r="F1307" s="23">
        <v>1</v>
      </c>
    </row>
    <row r="1308" customHeight="1" spans="1:6">
      <c r="A1308" s="22">
        <v>45923</v>
      </c>
      <c r="B1308" s="26" t="s">
        <v>1425</v>
      </c>
      <c r="C1308" s="26">
        <v>15121980720</v>
      </c>
      <c r="D1308" s="23"/>
      <c r="E1308" s="23" t="s">
        <v>968</v>
      </c>
      <c r="F1308" s="23">
        <v>1</v>
      </c>
    </row>
    <row r="1309" customHeight="1" spans="1:6">
      <c r="A1309" s="22">
        <v>45923</v>
      </c>
      <c r="B1309" s="26" t="s">
        <v>2205</v>
      </c>
      <c r="C1309" s="26">
        <v>15629066911</v>
      </c>
      <c r="D1309" s="23"/>
      <c r="E1309" s="23" t="s">
        <v>968</v>
      </c>
      <c r="F1309" s="23">
        <v>1</v>
      </c>
    </row>
    <row r="1310" customHeight="1" spans="1:6">
      <c r="A1310" s="22">
        <v>45923</v>
      </c>
      <c r="B1310" s="26" t="s">
        <v>2206</v>
      </c>
      <c r="C1310" s="26">
        <v>13676079346</v>
      </c>
      <c r="D1310" s="23"/>
      <c r="E1310" s="23" t="s">
        <v>1827</v>
      </c>
      <c r="F1310" s="23">
        <v>1</v>
      </c>
    </row>
    <row r="1311" customHeight="1" spans="1:6">
      <c r="A1311" s="22">
        <v>45923</v>
      </c>
      <c r="B1311" s="26" t="s">
        <v>2207</v>
      </c>
      <c r="C1311" s="26">
        <v>18607150223</v>
      </c>
      <c r="D1311" s="23"/>
      <c r="E1311" s="23" t="s">
        <v>968</v>
      </c>
      <c r="F1311" s="23">
        <v>1</v>
      </c>
    </row>
    <row r="1312" customHeight="1" spans="1:6">
      <c r="A1312" s="22">
        <v>45923</v>
      </c>
      <c r="B1312" s="38" t="s">
        <v>2208</v>
      </c>
      <c r="C1312" s="38">
        <v>18064079785</v>
      </c>
      <c r="D1312" s="23"/>
      <c r="E1312" s="23" t="s">
        <v>800</v>
      </c>
      <c r="F1312" s="23">
        <v>1</v>
      </c>
    </row>
    <row r="1313" customHeight="1" spans="1:6">
      <c r="A1313" s="22">
        <v>45923</v>
      </c>
      <c r="B1313" s="26" t="s">
        <v>2209</v>
      </c>
      <c r="C1313" s="26">
        <v>13055904688</v>
      </c>
      <c r="D1313" s="23"/>
      <c r="E1313" s="23" t="s">
        <v>1827</v>
      </c>
      <c r="F1313" s="23">
        <v>1</v>
      </c>
    </row>
    <row r="1314" customHeight="1" spans="1:6">
      <c r="A1314" s="22">
        <v>45923</v>
      </c>
      <c r="B1314" s="26" t="s">
        <v>2210</v>
      </c>
      <c r="C1314" s="26">
        <v>15071607993</v>
      </c>
      <c r="D1314" s="23"/>
      <c r="E1314" s="23" t="s">
        <v>968</v>
      </c>
      <c r="F1314" s="23">
        <v>1</v>
      </c>
    </row>
    <row r="1315" customHeight="1" spans="1:6">
      <c r="A1315" s="22">
        <v>45924</v>
      </c>
      <c r="B1315" s="26" t="s">
        <v>2211</v>
      </c>
      <c r="C1315" s="26">
        <v>15398450026</v>
      </c>
      <c r="D1315" s="23"/>
      <c r="E1315" s="23" t="s">
        <v>800</v>
      </c>
      <c r="F1315" s="23">
        <v>1</v>
      </c>
    </row>
    <row r="1316" customHeight="1" spans="1:6">
      <c r="A1316" s="22">
        <v>45924</v>
      </c>
      <c r="B1316" s="23" t="s">
        <v>2212</v>
      </c>
      <c r="C1316" s="23">
        <v>15327255222</v>
      </c>
      <c r="D1316" s="23"/>
      <c r="E1316" s="23" t="s">
        <v>1827</v>
      </c>
      <c r="F1316" s="23">
        <v>1</v>
      </c>
    </row>
    <row r="1317" customHeight="1" spans="1:6">
      <c r="A1317" s="22">
        <v>45924</v>
      </c>
      <c r="B1317" s="23" t="s">
        <v>981</v>
      </c>
      <c r="C1317" s="23">
        <v>19571689131</v>
      </c>
      <c r="D1317" s="23"/>
      <c r="E1317" s="23" t="s">
        <v>1827</v>
      </c>
      <c r="F1317" s="23">
        <v>1</v>
      </c>
    </row>
    <row r="1318" customHeight="1" spans="1:6">
      <c r="A1318" s="22">
        <v>45924</v>
      </c>
      <c r="B1318" s="23" t="s">
        <v>2213</v>
      </c>
      <c r="C1318" s="23">
        <v>15971510372</v>
      </c>
      <c r="D1318" s="23"/>
      <c r="E1318" s="23" t="s">
        <v>797</v>
      </c>
      <c r="F1318" s="23">
        <v>1</v>
      </c>
    </row>
    <row r="1319" customHeight="1" spans="1:6">
      <c r="A1319" s="22">
        <v>45925</v>
      </c>
      <c r="B1319" s="23" t="s">
        <v>2203</v>
      </c>
      <c r="C1319" s="23">
        <v>18075212304</v>
      </c>
      <c r="D1319" s="23"/>
      <c r="E1319" s="23" t="s">
        <v>960</v>
      </c>
      <c r="F1319" s="23">
        <v>1</v>
      </c>
    </row>
    <row r="1320" customHeight="1" spans="1:6">
      <c r="A1320" s="22">
        <v>45925</v>
      </c>
      <c r="B1320" s="23" t="s">
        <v>681</v>
      </c>
      <c r="C1320" s="23">
        <v>15893837570</v>
      </c>
      <c r="D1320" s="23"/>
      <c r="E1320" s="23" t="s">
        <v>2022</v>
      </c>
      <c r="F1320" s="23">
        <v>1</v>
      </c>
    </row>
    <row r="1321" customHeight="1" spans="1:6">
      <c r="A1321" s="22">
        <v>45925</v>
      </c>
      <c r="B1321" s="23" t="s">
        <v>2214</v>
      </c>
      <c r="C1321" s="23">
        <v>15072601650</v>
      </c>
      <c r="D1321" s="23"/>
      <c r="E1321" s="23" t="s">
        <v>980</v>
      </c>
      <c r="F1321" s="23">
        <v>1</v>
      </c>
    </row>
    <row r="1322" customHeight="1" spans="1:6">
      <c r="A1322" s="22">
        <v>45925</v>
      </c>
      <c r="B1322" s="23" t="s">
        <v>2215</v>
      </c>
      <c r="C1322" s="23">
        <v>15271081165</v>
      </c>
      <c r="D1322" s="23"/>
      <c r="E1322" s="23" t="s">
        <v>2022</v>
      </c>
      <c r="F1322" s="23">
        <v>1</v>
      </c>
    </row>
    <row r="1323" customHeight="1" spans="1:6">
      <c r="A1323" s="22">
        <v>45925</v>
      </c>
      <c r="B1323" s="23" t="s">
        <v>2216</v>
      </c>
      <c r="C1323" s="23">
        <v>13119131510</v>
      </c>
      <c r="D1323" s="23"/>
      <c r="E1323" s="23" t="s">
        <v>968</v>
      </c>
      <c r="F1323" s="23">
        <v>1</v>
      </c>
    </row>
    <row r="1324" customHeight="1" spans="1:6">
      <c r="A1324" s="22">
        <v>45925</v>
      </c>
      <c r="B1324" s="23" t="s">
        <v>2217</v>
      </c>
      <c r="C1324" s="23">
        <v>15527299883</v>
      </c>
      <c r="D1324" s="23"/>
      <c r="E1324" s="23" t="s">
        <v>800</v>
      </c>
      <c r="F1324" s="23">
        <v>1</v>
      </c>
    </row>
    <row r="1325" customHeight="1" spans="1:6">
      <c r="A1325" s="22">
        <v>45925</v>
      </c>
      <c r="B1325" s="23" t="s">
        <v>2218</v>
      </c>
      <c r="C1325" s="23">
        <v>15207126244</v>
      </c>
      <c r="D1325" s="23"/>
      <c r="E1325" s="23" t="s">
        <v>980</v>
      </c>
      <c r="F1325" s="23">
        <v>1</v>
      </c>
    </row>
    <row r="1326" customHeight="1" spans="1:6">
      <c r="A1326" s="22">
        <v>45925</v>
      </c>
      <c r="B1326" s="23" t="s">
        <v>2219</v>
      </c>
      <c r="C1326" s="23">
        <v>13904342201</v>
      </c>
      <c r="D1326" s="23"/>
      <c r="E1326" s="23" t="s">
        <v>753</v>
      </c>
      <c r="F1326" s="23">
        <v>1</v>
      </c>
    </row>
    <row r="1327" customHeight="1" spans="1:6">
      <c r="A1327" s="22">
        <v>45925</v>
      </c>
      <c r="B1327" s="26" t="s">
        <v>2220</v>
      </c>
      <c r="C1327" s="26">
        <v>19176552032</v>
      </c>
      <c r="D1327" s="23"/>
      <c r="E1327" s="23" t="s">
        <v>1988</v>
      </c>
      <c r="F1327" s="23">
        <v>1</v>
      </c>
    </row>
    <row r="1328" customHeight="1" spans="1:6">
      <c r="A1328" s="22">
        <v>45925</v>
      </c>
      <c r="B1328" s="23" t="s">
        <v>2221</v>
      </c>
      <c r="C1328" s="23">
        <v>13017352716</v>
      </c>
      <c r="D1328" s="23"/>
      <c r="E1328" s="23" t="s">
        <v>1988</v>
      </c>
      <c r="F1328" s="23">
        <v>1</v>
      </c>
    </row>
    <row r="1329" customHeight="1" spans="1:6">
      <c r="A1329" s="22">
        <v>45926</v>
      </c>
      <c r="B1329" s="23" t="s">
        <v>2222</v>
      </c>
      <c r="C1329" s="23">
        <v>18771597459</v>
      </c>
      <c r="D1329" s="23"/>
      <c r="E1329" s="23" t="s">
        <v>753</v>
      </c>
      <c r="F1329" s="23">
        <v>1</v>
      </c>
    </row>
    <row r="1330" customHeight="1" spans="1:6">
      <c r="A1330" s="22">
        <v>45927</v>
      </c>
      <c r="B1330" s="23" t="s">
        <v>2223</v>
      </c>
      <c r="C1330" s="23">
        <v>13304190229</v>
      </c>
      <c r="D1330" s="23"/>
      <c r="E1330" s="23" t="s">
        <v>980</v>
      </c>
      <c r="F1330" s="23">
        <v>1</v>
      </c>
    </row>
    <row r="1331" customHeight="1" spans="1:6">
      <c r="A1331" s="22">
        <v>45927</v>
      </c>
      <c r="B1331" s="23" t="s">
        <v>2224</v>
      </c>
      <c r="C1331" s="23">
        <v>18797395275</v>
      </c>
      <c r="D1331" s="23"/>
      <c r="E1331" s="23" t="s">
        <v>960</v>
      </c>
      <c r="F1331" s="23">
        <v>1</v>
      </c>
    </row>
    <row r="1332" customHeight="1" spans="1:6">
      <c r="A1332" s="22">
        <v>45927</v>
      </c>
      <c r="B1332" s="23" t="s">
        <v>2225</v>
      </c>
      <c r="C1332" s="23">
        <v>15315749126</v>
      </c>
      <c r="D1332" s="23"/>
      <c r="E1332" s="23" t="s">
        <v>980</v>
      </c>
      <c r="F1332" s="23">
        <v>1</v>
      </c>
    </row>
    <row r="1333" customHeight="1" spans="1:6">
      <c r="A1333" s="22">
        <v>45927</v>
      </c>
      <c r="B1333" s="23" t="s">
        <v>2226</v>
      </c>
      <c r="C1333" s="23">
        <v>19805697638</v>
      </c>
      <c r="D1333" s="23"/>
      <c r="E1333" s="23" t="s">
        <v>968</v>
      </c>
      <c r="F1333" s="23">
        <v>1</v>
      </c>
    </row>
    <row r="1334" customHeight="1" spans="1:6">
      <c r="A1334" s="22">
        <v>45927</v>
      </c>
      <c r="B1334" s="26" t="s">
        <v>2227</v>
      </c>
      <c r="C1334" s="26">
        <v>18745095670</v>
      </c>
      <c r="D1334" s="23"/>
      <c r="E1334" s="23" t="s">
        <v>960</v>
      </c>
      <c r="F1334" s="23">
        <v>1</v>
      </c>
    </row>
    <row r="1335" customHeight="1" spans="1:6">
      <c r="A1335" s="22">
        <v>45927</v>
      </c>
      <c r="B1335" s="23" t="s">
        <v>2228</v>
      </c>
      <c r="C1335" s="23">
        <v>18314343911</v>
      </c>
      <c r="D1335" s="23"/>
      <c r="E1335" s="23" t="s">
        <v>980</v>
      </c>
      <c r="F1335" s="23">
        <v>1</v>
      </c>
    </row>
    <row r="1336" customHeight="1" spans="1:6">
      <c r="A1336" s="22">
        <v>45927</v>
      </c>
      <c r="B1336" s="23" t="s">
        <v>2229</v>
      </c>
      <c r="C1336" s="23">
        <v>13071221915</v>
      </c>
      <c r="D1336" s="23"/>
      <c r="E1336" s="23" t="s">
        <v>980</v>
      </c>
      <c r="F1336" s="23">
        <v>1</v>
      </c>
    </row>
    <row r="1337" customHeight="1" spans="1:6">
      <c r="A1337" s="22">
        <v>45927</v>
      </c>
      <c r="B1337" s="23" t="s">
        <v>2230</v>
      </c>
      <c r="C1337" s="23">
        <v>19202764252</v>
      </c>
      <c r="D1337" s="23"/>
      <c r="E1337" s="23" t="s">
        <v>980</v>
      </c>
      <c r="F1337" s="23">
        <v>1</v>
      </c>
    </row>
    <row r="1338" customHeight="1" spans="1:6">
      <c r="A1338" s="22">
        <v>45927</v>
      </c>
      <c r="B1338" s="23" t="s">
        <v>2231</v>
      </c>
      <c r="C1338" s="23">
        <v>19871543308</v>
      </c>
      <c r="D1338" s="23"/>
      <c r="E1338" s="23" t="s">
        <v>960</v>
      </c>
      <c r="F1338" s="23">
        <v>1</v>
      </c>
    </row>
    <row r="1339" customHeight="1" spans="1:6">
      <c r="A1339" s="22">
        <v>45927</v>
      </c>
      <c r="B1339" s="23" t="s">
        <v>2232</v>
      </c>
      <c r="C1339" s="23">
        <v>15377528478</v>
      </c>
      <c r="D1339" s="23"/>
      <c r="E1339" s="23" t="s">
        <v>968</v>
      </c>
      <c r="F1339" s="23">
        <v>1</v>
      </c>
    </row>
    <row r="1340" customHeight="1" spans="1:6">
      <c r="A1340" s="22">
        <v>45927</v>
      </c>
      <c r="B1340" s="23" t="s">
        <v>2233</v>
      </c>
      <c r="C1340" s="23">
        <v>15762255385</v>
      </c>
      <c r="D1340" s="23"/>
      <c r="E1340" s="23" t="s">
        <v>960</v>
      </c>
      <c r="F1340" s="23">
        <v>1</v>
      </c>
    </row>
    <row r="1341" customHeight="1" spans="1:6">
      <c r="A1341" s="22">
        <v>45928</v>
      </c>
      <c r="B1341" s="23" t="s">
        <v>2157</v>
      </c>
      <c r="C1341" s="23">
        <v>18671497816</v>
      </c>
      <c r="D1341" s="23"/>
      <c r="E1341" s="23" t="s">
        <v>1827</v>
      </c>
      <c r="F1341" s="23">
        <v>1</v>
      </c>
    </row>
    <row r="1342" customHeight="1" spans="1:6">
      <c r="A1342" s="22">
        <v>45928</v>
      </c>
      <c r="B1342" s="23" t="s">
        <v>2234</v>
      </c>
      <c r="C1342" s="23">
        <v>13545906009</v>
      </c>
      <c r="D1342" s="23"/>
      <c r="E1342" s="23" t="s">
        <v>2235</v>
      </c>
      <c r="F1342" s="23">
        <v>2</v>
      </c>
    </row>
    <row r="1343" customHeight="1" spans="1:6">
      <c r="A1343" s="22">
        <v>45928</v>
      </c>
      <c r="B1343" s="35" t="s">
        <v>2236</v>
      </c>
      <c r="C1343" s="35">
        <v>18162512269</v>
      </c>
      <c r="E1343" s="23" t="s">
        <v>1827</v>
      </c>
      <c r="F1343" s="23">
        <v>1</v>
      </c>
    </row>
    <row r="1344" customHeight="1" spans="1:6">
      <c r="A1344" s="22">
        <v>45928</v>
      </c>
      <c r="B1344" s="23" t="s">
        <v>2237</v>
      </c>
      <c r="C1344" s="23">
        <v>19186119619</v>
      </c>
      <c r="D1344" s="23"/>
      <c r="E1344" s="23" t="s">
        <v>980</v>
      </c>
      <c r="F1344" s="23">
        <v>1</v>
      </c>
    </row>
    <row r="1345" customHeight="1" spans="1:6">
      <c r="A1345" s="22">
        <v>45928</v>
      </c>
      <c r="B1345" s="23" t="s">
        <v>2238</v>
      </c>
      <c r="C1345" s="23">
        <v>17771636825</v>
      </c>
      <c r="D1345" s="23"/>
      <c r="E1345" s="23" t="s">
        <v>980</v>
      </c>
      <c r="F1345" s="23">
        <v>1</v>
      </c>
    </row>
    <row r="1346" customHeight="1" spans="1:6">
      <c r="A1346" s="22">
        <v>45928</v>
      </c>
      <c r="B1346" s="23" t="s">
        <v>2239</v>
      </c>
      <c r="C1346" s="23">
        <v>13203869985</v>
      </c>
      <c r="D1346" s="23"/>
      <c r="E1346" s="23" t="s">
        <v>980</v>
      </c>
      <c r="F1346" s="23">
        <v>1</v>
      </c>
    </row>
    <row r="1347" customHeight="1" spans="1:6">
      <c r="A1347" s="22">
        <v>45928</v>
      </c>
      <c r="B1347" s="23" t="s">
        <v>2240</v>
      </c>
      <c r="C1347" s="23">
        <v>19397258187</v>
      </c>
      <c r="D1347" s="23"/>
      <c r="E1347" s="23" t="s">
        <v>2022</v>
      </c>
      <c r="F1347" s="23">
        <v>1</v>
      </c>
    </row>
    <row r="1348" customHeight="1" spans="1:6">
      <c r="A1348" s="22">
        <v>45929</v>
      </c>
      <c r="B1348" s="23" t="s">
        <v>2241</v>
      </c>
      <c r="C1348" s="23">
        <v>15335975002</v>
      </c>
      <c r="D1348" s="23"/>
      <c r="E1348" s="23" t="s">
        <v>725</v>
      </c>
      <c r="F1348" s="23">
        <v>2</v>
      </c>
    </row>
    <row r="1349" customHeight="1" spans="1:6">
      <c r="A1349" s="22">
        <v>45929</v>
      </c>
      <c r="B1349" s="23" t="s">
        <v>2242</v>
      </c>
      <c r="C1349" s="23">
        <v>15637460695</v>
      </c>
      <c r="D1349" s="23"/>
      <c r="E1349" s="23" t="s">
        <v>725</v>
      </c>
      <c r="F1349" s="23">
        <v>2</v>
      </c>
    </row>
    <row r="1350" customHeight="1" spans="1:6">
      <c r="A1350" s="22">
        <v>45929</v>
      </c>
      <c r="B1350" s="23" t="s">
        <v>2243</v>
      </c>
      <c r="C1350" s="23">
        <v>18670611382</v>
      </c>
      <c r="D1350" s="23"/>
      <c r="E1350" s="23" t="s">
        <v>2244</v>
      </c>
      <c r="F1350" s="23">
        <v>1</v>
      </c>
    </row>
    <row r="1351" customHeight="1" spans="1:6">
      <c r="A1351" s="22">
        <v>45929</v>
      </c>
      <c r="B1351" s="26" t="s">
        <v>2245</v>
      </c>
      <c r="C1351" s="26">
        <v>13080620306</v>
      </c>
      <c r="D1351" s="23"/>
      <c r="E1351" s="23" t="s">
        <v>2246</v>
      </c>
      <c r="F1351" s="23">
        <v>3</v>
      </c>
    </row>
    <row r="1352" customHeight="1" spans="1:6">
      <c r="A1352" s="22">
        <v>45929</v>
      </c>
      <c r="B1352" s="26" t="s">
        <v>2247</v>
      </c>
      <c r="C1352" s="26">
        <v>15844521003</v>
      </c>
      <c r="D1352" s="23"/>
      <c r="E1352" s="23" t="s">
        <v>753</v>
      </c>
      <c r="F1352" s="23">
        <v>1</v>
      </c>
    </row>
    <row r="1353" customHeight="1" spans="1:6">
      <c r="A1353" s="22">
        <v>45929</v>
      </c>
      <c r="B1353" s="26" t="s">
        <v>2248</v>
      </c>
      <c r="C1353" s="26">
        <v>15575739108</v>
      </c>
      <c r="D1353" s="23"/>
      <c r="E1353" s="23" t="s">
        <v>980</v>
      </c>
      <c r="F1353" s="23">
        <v>1</v>
      </c>
    </row>
    <row r="1354" customHeight="1" spans="1:6">
      <c r="A1354" s="22">
        <v>45929</v>
      </c>
      <c r="B1354" s="26" t="s">
        <v>2249</v>
      </c>
      <c r="C1354" s="26">
        <v>13072702018</v>
      </c>
      <c r="D1354" s="23"/>
      <c r="E1354" s="23" t="s">
        <v>2022</v>
      </c>
      <c r="F1354" s="23">
        <v>1</v>
      </c>
    </row>
    <row r="1355" customHeight="1" spans="1:6">
      <c r="A1355" s="22">
        <v>45929</v>
      </c>
      <c r="B1355" s="26" t="s">
        <v>2250</v>
      </c>
      <c r="C1355" s="26">
        <v>13896809961</v>
      </c>
      <c r="D1355" s="23"/>
      <c r="E1355" s="23" t="s">
        <v>1478</v>
      </c>
      <c r="F1355" s="23">
        <v>1</v>
      </c>
    </row>
    <row r="1356" customHeight="1" spans="1:6">
      <c r="A1356" s="22">
        <v>45929</v>
      </c>
      <c r="B1356" s="26" t="s">
        <v>2251</v>
      </c>
      <c r="C1356" s="26">
        <v>13872493896</v>
      </c>
      <c r="D1356" s="23"/>
      <c r="E1356" s="23" t="s">
        <v>940</v>
      </c>
      <c r="F1356" s="23">
        <v>1</v>
      </c>
    </row>
    <row r="1357" customHeight="1" spans="1:6">
      <c r="A1357" s="22">
        <v>45929</v>
      </c>
      <c r="B1357" s="26" t="s">
        <v>2252</v>
      </c>
      <c r="C1357" s="26">
        <v>19968099566</v>
      </c>
      <c r="D1357" s="23"/>
      <c r="E1357" s="23" t="s">
        <v>1478</v>
      </c>
      <c r="F1357" s="23">
        <v>1</v>
      </c>
    </row>
    <row r="1358" customHeight="1" spans="1:6">
      <c r="A1358" s="22">
        <v>45929</v>
      </c>
      <c r="B1358" s="26" t="s">
        <v>2253</v>
      </c>
      <c r="C1358" s="26">
        <v>15587559280</v>
      </c>
      <c r="D1358" s="23"/>
      <c r="E1358" s="23" t="s">
        <v>742</v>
      </c>
      <c r="F1358" s="23">
        <v>1</v>
      </c>
    </row>
    <row r="1359" customHeight="1" spans="1:6">
      <c r="A1359" s="22">
        <v>45929</v>
      </c>
      <c r="B1359" s="26" t="s">
        <v>2254</v>
      </c>
      <c r="C1359" s="26">
        <v>18371845073</v>
      </c>
      <c r="D1359" s="23"/>
      <c r="E1359" s="23" t="s">
        <v>742</v>
      </c>
      <c r="F1359" s="23">
        <v>1</v>
      </c>
    </row>
    <row r="1360" customHeight="1" spans="1:6">
      <c r="A1360" s="22">
        <v>45929</v>
      </c>
      <c r="B1360" s="26" t="s">
        <v>2255</v>
      </c>
      <c r="C1360" s="26">
        <v>15827368611</v>
      </c>
      <c r="D1360" s="23"/>
      <c r="E1360" s="23" t="s">
        <v>1478</v>
      </c>
      <c r="F1360" s="23">
        <v>1</v>
      </c>
    </row>
    <row r="1361" customHeight="1" spans="1:6">
      <c r="A1361" s="22">
        <v>45929</v>
      </c>
      <c r="B1361" s="26" t="s">
        <v>2256</v>
      </c>
      <c r="C1361" s="26">
        <v>13797298603</v>
      </c>
      <c r="D1361" s="23"/>
      <c r="E1361" s="23" t="s">
        <v>742</v>
      </c>
      <c r="F1361" s="23">
        <v>1</v>
      </c>
    </row>
    <row r="1362" customHeight="1" spans="1:6">
      <c r="A1362" s="22">
        <v>45929</v>
      </c>
      <c r="B1362" s="26" t="s">
        <v>2257</v>
      </c>
      <c r="C1362" s="26">
        <v>15902356762</v>
      </c>
      <c r="D1362" s="23"/>
      <c r="E1362" s="23" t="s">
        <v>725</v>
      </c>
      <c r="F1362" s="23">
        <v>2</v>
      </c>
    </row>
    <row r="1363" customHeight="1" spans="1:6">
      <c r="A1363" s="22">
        <v>45929</v>
      </c>
      <c r="B1363" s="26" t="s">
        <v>2258</v>
      </c>
      <c r="C1363" s="26">
        <v>13697325351</v>
      </c>
      <c r="D1363" s="23"/>
      <c r="E1363" s="23" t="s">
        <v>725</v>
      </c>
      <c r="F1363" s="23">
        <v>2</v>
      </c>
    </row>
    <row r="1364" customHeight="1" spans="1:6">
      <c r="A1364" s="22">
        <v>45929</v>
      </c>
      <c r="B1364" s="26" t="s">
        <v>2252</v>
      </c>
      <c r="C1364" s="26">
        <v>19968099566</v>
      </c>
      <c r="D1364" s="23"/>
      <c r="E1364" s="23" t="s">
        <v>725</v>
      </c>
      <c r="F1364" s="23">
        <v>2</v>
      </c>
    </row>
    <row r="1365" customHeight="1" spans="1:6">
      <c r="A1365" s="22">
        <v>45929</v>
      </c>
      <c r="B1365" s="26" t="s">
        <v>2249</v>
      </c>
      <c r="C1365" s="26">
        <v>13072702018</v>
      </c>
      <c r="D1365" s="23"/>
      <c r="E1365" s="23" t="s">
        <v>725</v>
      </c>
      <c r="F1365" s="23">
        <v>2</v>
      </c>
    </row>
    <row r="1366" customHeight="1" spans="1:6">
      <c r="A1366" s="22">
        <v>45929</v>
      </c>
      <c r="B1366" s="26" t="s">
        <v>2228</v>
      </c>
      <c r="C1366" s="26">
        <v>18314343911</v>
      </c>
      <c r="D1366" s="23"/>
      <c r="E1366" s="23" t="s">
        <v>725</v>
      </c>
      <c r="F1366" s="23">
        <v>2</v>
      </c>
    </row>
    <row r="1367" customHeight="1" spans="1:6">
      <c r="A1367" s="22">
        <v>45929</v>
      </c>
      <c r="B1367" s="26" t="s">
        <v>2229</v>
      </c>
      <c r="C1367" s="26">
        <v>13071221915</v>
      </c>
      <c r="D1367" s="23"/>
      <c r="E1367" s="23" t="s">
        <v>725</v>
      </c>
      <c r="F1367" s="23">
        <v>2</v>
      </c>
    </row>
    <row r="1368" customHeight="1" spans="1:6">
      <c r="A1368" s="22">
        <v>45930</v>
      </c>
      <c r="B1368" s="23" t="s">
        <v>2152</v>
      </c>
      <c r="C1368" s="23">
        <v>18897888363</v>
      </c>
      <c r="D1368" s="23"/>
      <c r="E1368" s="23" t="s">
        <v>843</v>
      </c>
      <c r="F1368" s="23">
        <v>1</v>
      </c>
    </row>
    <row r="1369" customHeight="1" spans="1:6">
      <c r="A1369" s="22">
        <v>45930</v>
      </c>
      <c r="B1369" s="26" t="s">
        <v>2259</v>
      </c>
      <c r="C1369" s="26">
        <v>17786376174</v>
      </c>
      <c r="D1369" s="23"/>
      <c r="E1369" s="23" t="s">
        <v>960</v>
      </c>
      <c r="F1369" s="23">
        <v>1</v>
      </c>
    </row>
    <row r="1370" customHeight="1" spans="1:6">
      <c r="A1370" s="22">
        <v>45930</v>
      </c>
      <c r="B1370" s="23" t="s">
        <v>2260</v>
      </c>
      <c r="C1370" s="23">
        <v>19989417191</v>
      </c>
      <c r="D1370" s="23"/>
      <c r="E1370" s="23" t="s">
        <v>725</v>
      </c>
      <c r="F1370" s="23">
        <v>2</v>
      </c>
    </row>
    <row r="1371" ht="39" customHeight="1" spans="1:6">
      <c r="A1371" s="22">
        <v>45930</v>
      </c>
      <c r="B1371" s="29" t="s">
        <v>2261</v>
      </c>
      <c r="C1371" s="29" t="s">
        <v>2262</v>
      </c>
      <c r="D1371" s="23"/>
      <c r="E1371" s="23" t="s">
        <v>2263</v>
      </c>
      <c r="F1371" s="23">
        <v>6</v>
      </c>
    </row>
    <row r="1372" customHeight="1" spans="1:6">
      <c r="A1372" s="22">
        <v>45930</v>
      </c>
      <c r="B1372" s="23" t="s">
        <v>2264</v>
      </c>
      <c r="C1372" s="23">
        <v>18487176036</v>
      </c>
      <c r="D1372" s="23"/>
      <c r="E1372" s="23" t="s">
        <v>829</v>
      </c>
      <c r="F1372" s="23">
        <v>1</v>
      </c>
    </row>
    <row r="1373" customHeight="1" spans="1:6">
      <c r="A1373" s="22">
        <v>45930</v>
      </c>
      <c r="B1373" s="23" t="s">
        <v>2105</v>
      </c>
      <c r="C1373" s="23">
        <v>13103219499</v>
      </c>
      <c r="D1373" s="23"/>
      <c r="E1373" s="23" t="s">
        <v>829</v>
      </c>
      <c r="F1373" s="23">
        <v>1</v>
      </c>
    </row>
    <row r="1374" customHeight="1" spans="1:6">
      <c r="A1374" s="22">
        <v>45931</v>
      </c>
      <c r="B1374" s="23" t="s">
        <v>2265</v>
      </c>
      <c r="C1374" s="23">
        <v>15623776330</v>
      </c>
      <c r="D1374" s="23"/>
      <c r="E1374" s="23" t="s">
        <v>742</v>
      </c>
      <c r="F1374" s="23">
        <v>1</v>
      </c>
    </row>
    <row r="1375" customHeight="1" spans="1:6">
      <c r="A1375" s="22">
        <v>45931</v>
      </c>
      <c r="B1375" s="23" t="s">
        <v>2266</v>
      </c>
      <c r="C1375" s="23">
        <v>15926644294</v>
      </c>
      <c r="D1375" s="23"/>
      <c r="E1375" s="23" t="s">
        <v>800</v>
      </c>
      <c r="F1375" s="23">
        <v>1</v>
      </c>
    </row>
    <row r="1376" customHeight="1" spans="1:6">
      <c r="A1376" s="22">
        <v>45936</v>
      </c>
      <c r="B1376" s="23" t="s">
        <v>2267</v>
      </c>
      <c r="C1376" s="23">
        <v>18272454990</v>
      </c>
      <c r="E1376" s="23" t="s">
        <v>725</v>
      </c>
      <c r="F1376" s="23">
        <v>2</v>
      </c>
    </row>
    <row r="1377" customHeight="1" spans="1:6">
      <c r="A1377" s="22">
        <v>45938</v>
      </c>
      <c r="B1377" s="23" t="s">
        <v>2268</v>
      </c>
      <c r="C1377" s="23">
        <v>19885310385</v>
      </c>
      <c r="E1377" s="23" t="s">
        <v>725</v>
      </c>
      <c r="F1377" s="23">
        <v>2</v>
      </c>
    </row>
    <row r="1378" customHeight="1" spans="1:6">
      <c r="A1378" s="22">
        <v>45939</v>
      </c>
      <c r="B1378" s="26" t="s">
        <v>2269</v>
      </c>
      <c r="C1378" s="26">
        <v>15072957320</v>
      </c>
      <c r="E1378" s="23" t="s">
        <v>725</v>
      </c>
      <c r="F1378" s="23">
        <v>2</v>
      </c>
    </row>
    <row r="1379" customHeight="1" spans="1:6">
      <c r="A1379" s="22">
        <v>45939</v>
      </c>
      <c r="B1379" s="26" t="s">
        <v>2270</v>
      </c>
      <c r="C1379" s="26">
        <v>13297646822</v>
      </c>
      <c r="E1379" s="23" t="s">
        <v>725</v>
      </c>
      <c r="F1379" s="23">
        <v>2</v>
      </c>
    </row>
    <row r="1380" customHeight="1" spans="1:6">
      <c r="A1380" s="22">
        <v>45939</v>
      </c>
      <c r="B1380" s="23" t="s">
        <v>2271</v>
      </c>
      <c r="C1380" s="23">
        <v>19171009967</v>
      </c>
      <c r="E1380" s="23" t="s">
        <v>725</v>
      </c>
      <c r="F1380" s="23">
        <v>2</v>
      </c>
    </row>
    <row r="1381" customHeight="1" spans="1:6">
      <c r="A1381" s="22">
        <v>45939</v>
      </c>
      <c r="B1381" s="23" t="s">
        <v>2272</v>
      </c>
      <c r="C1381" s="23">
        <v>18986026202</v>
      </c>
      <c r="E1381" s="23" t="s">
        <v>843</v>
      </c>
      <c r="F1381" s="23">
        <v>1</v>
      </c>
    </row>
    <row r="1382" customHeight="1" spans="1:6">
      <c r="A1382" s="22">
        <v>45939</v>
      </c>
      <c r="B1382" s="23" t="s">
        <v>2273</v>
      </c>
      <c r="C1382" s="23">
        <v>18186620239</v>
      </c>
      <c r="E1382" s="23" t="s">
        <v>843</v>
      </c>
      <c r="F1382" s="23">
        <v>1</v>
      </c>
    </row>
    <row r="1383" customHeight="1" spans="1:6">
      <c r="A1383" s="22">
        <v>45939</v>
      </c>
      <c r="B1383" s="23" t="s">
        <v>2274</v>
      </c>
      <c r="C1383" s="23">
        <v>15972915211</v>
      </c>
      <c r="E1383" s="23" t="s">
        <v>843</v>
      </c>
      <c r="F1383" s="23">
        <v>1</v>
      </c>
    </row>
    <row r="1384" customHeight="1" spans="1:6">
      <c r="A1384" s="22">
        <v>45939</v>
      </c>
      <c r="B1384" s="23" t="s">
        <v>2275</v>
      </c>
      <c r="C1384" s="23">
        <v>19164399582</v>
      </c>
      <c r="E1384" s="23" t="s">
        <v>843</v>
      </c>
      <c r="F1384" s="23">
        <v>1</v>
      </c>
    </row>
    <row r="1385" customHeight="1" spans="1:6">
      <c r="A1385" s="22">
        <v>45939</v>
      </c>
      <c r="B1385" s="23" t="s">
        <v>2276</v>
      </c>
      <c r="C1385" s="23">
        <v>18611804648</v>
      </c>
      <c r="E1385" s="23" t="s">
        <v>843</v>
      </c>
      <c r="F1385" s="23">
        <v>1</v>
      </c>
    </row>
    <row r="1386" customHeight="1" spans="1:6">
      <c r="A1386" s="22">
        <v>45939</v>
      </c>
      <c r="B1386" s="23" t="s">
        <v>2277</v>
      </c>
      <c r="C1386" s="23">
        <v>15827072256</v>
      </c>
      <c r="E1386" s="23" t="s">
        <v>843</v>
      </c>
      <c r="F1386" s="23">
        <v>1</v>
      </c>
    </row>
    <row r="1387" customHeight="1" spans="1:6">
      <c r="A1387" s="22">
        <v>45939</v>
      </c>
      <c r="B1387" s="26" t="s">
        <v>2278</v>
      </c>
      <c r="C1387" s="26">
        <v>18471601791</v>
      </c>
      <c r="E1387" s="23" t="s">
        <v>843</v>
      </c>
      <c r="F1387" s="23">
        <v>1</v>
      </c>
    </row>
    <row r="1388" customHeight="1" spans="1:6">
      <c r="A1388" s="22">
        <v>45940</v>
      </c>
      <c r="B1388" s="20" t="s">
        <v>2279</v>
      </c>
      <c r="C1388" s="20">
        <v>15290876617</v>
      </c>
      <c r="E1388" s="23" t="s">
        <v>725</v>
      </c>
      <c r="F1388" s="23">
        <v>2</v>
      </c>
    </row>
    <row r="1389" customHeight="1" spans="1:6">
      <c r="A1389" s="22">
        <v>45940</v>
      </c>
      <c r="B1389" s="20" t="s">
        <v>2280</v>
      </c>
      <c r="C1389" s="20">
        <v>15849166245</v>
      </c>
      <c r="E1389" s="23" t="s">
        <v>725</v>
      </c>
      <c r="F1389" s="23">
        <v>2</v>
      </c>
    </row>
    <row r="1390" customHeight="1" spans="1:6">
      <c r="A1390" s="22">
        <v>45940</v>
      </c>
      <c r="B1390" s="20" t="s">
        <v>2281</v>
      </c>
      <c r="C1390" s="20">
        <v>13848403597</v>
      </c>
      <c r="E1390" s="23" t="s">
        <v>725</v>
      </c>
      <c r="F1390" s="23">
        <v>2</v>
      </c>
    </row>
    <row r="1391" customHeight="1" spans="1:6">
      <c r="A1391" s="22">
        <v>45941</v>
      </c>
      <c r="B1391" s="29" t="s">
        <v>2282</v>
      </c>
      <c r="C1391" s="29" t="s">
        <v>2283</v>
      </c>
      <c r="E1391" s="23" t="s">
        <v>725</v>
      </c>
      <c r="F1391" s="23">
        <v>2</v>
      </c>
    </row>
    <row r="1392" customHeight="1" spans="1:6">
      <c r="A1392" s="22">
        <v>45941</v>
      </c>
      <c r="B1392" s="20" t="s">
        <v>2284</v>
      </c>
      <c r="C1392" s="20">
        <v>19237130250</v>
      </c>
      <c r="E1392" s="23" t="s">
        <v>725</v>
      </c>
      <c r="F1392" s="23">
        <v>2</v>
      </c>
    </row>
    <row r="1393" customHeight="1" spans="1:6">
      <c r="A1393" s="22">
        <v>45941</v>
      </c>
      <c r="B1393" s="20" t="s">
        <v>2285</v>
      </c>
      <c r="C1393" s="20">
        <v>18707146928</v>
      </c>
      <c r="E1393" s="23" t="s">
        <v>725</v>
      </c>
      <c r="F1393" s="23">
        <v>2</v>
      </c>
    </row>
    <row r="1394" customHeight="1" spans="1:6">
      <c r="A1394" s="36">
        <v>45941</v>
      </c>
      <c r="B1394" s="35" t="s">
        <v>2286</v>
      </c>
      <c r="C1394" s="35">
        <v>15821021536</v>
      </c>
      <c r="E1394" s="34" t="s">
        <v>725</v>
      </c>
      <c r="F1394" s="34">
        <v>2</v>
      </c>
    </row>
    <row r="1395" customHeight="1" spans="1:6">
      <c r="A1395" s="22">
        <v>45941</v>
      </c>
      <c r="B1395" s="26" t="s">
        <v>2287</v>
      </c>
      <c r="C1395" s="26">
        <v>15994304180</v>
      </c>
      <c r="D1395" s="23"/>
      <c r="E1395" s="23" t="s">
        <v>725</v>
      </c>
      <c r="F1395" s="23">
        <v>2</v>
      </c>
    </row>
    <row r="1396" customHeight="1" spans="1:6">
      <c r="A1396" s="22">
        <v>45941</v>
      </c>
      <c r="B1396" s="26" t="s">
        <v>2288</v>
      </c>
      <c r="C1396" s="26">
        <v>17855537033</v>
      </c>
      <c r="D1396" s="23"/>
      <c r="E1396" s="23" t="s">
        <v>725</v>
      </c>
      <c r="F1396" s="23">
        <v>2</v>
      </c>
    </row>
    <row r="1397" customHeight="1" spans="1:6">
      <c r="A1397" s="22">
        <v>45941</v>
      </c>
      <c r="B1397" s="23" t="s">
        <v>1440</v>
      </c>
      <c r="C1397" s="23">
        <v>17371064326</v>
      </c>
      <c r="D1397" s="23"/>
      <c r="E1397" s="23" t="s">
        <v>725</v>
      </c>
      <c r="F1397" s="23">
        <v>2</v>
      </c>
    </row>
    <row r="1398" customHeight="1" spans="1:6">
      <c r="A1398" s="22">
        <v>45941</v>
      </c>
      <c r="B1398" s="23" t="s">
        <v>2289</v>
      </c>
      <c r="C1398" s="23">
        <v>18971514481</v>
      </c>
      <c r="D1398" s="23"/>
      <c r="E1398" s="23" t="s">
        <v>725</v>
      </c>
      <c r="F1398" s="23">
        <v>2</v>
      </c>
    </row>
    <row r="1399" customHeight="1" spans="1:6">
      <c r="A1399" s="22">
        <v>45941</v>
      </c>
      <c r="B1399" s="23" t="s">
        <v>2290</v>
      </c>
      <c r="C1399" s="23">
        <v>13659822309</v>
      </c>
      <c r="D1399" s="23"/>
      <c r="E1399" s="23" t="s">
        <v>725</v>
      </c>
      <c r="F1399" s="23">
        <v>2</v>
      </c>
    </row>
    <row r="1400" customHeight="1" spans="1:6">
      <c r="A1400" s="22">
        <v>45942</v>
      </c>
      <c r="B1400" s="34" t="s">
        <v>2258</v>
      </c>
      <c r="C1400" s="34">
        <v>13697325351</v>
      </c>
      <c r="E1400" s="34" t="s">
        <v>725</v>
      </c>
      <c r="F1400" s="34">
        <v>2</v>
      </c>
    </row>
    <row r="1401" customHeight="1" spans="1:6">
      <c r="A1401" s="22">
        <v>45943</v>
      </c>
      <c r="B1401" s="26" t="s">
        <v>2291</v>
      </c>
      <c r="C1401" s="26">
        <v>15589487103</v>
      </c>
      <c r="D1401" s="23"/>
      <c r="E1401" s="34" t="s">
        <v>725</v>
      </c>
      <c r="F1401" s="34">
        <v>2</v>
      </c>
    </row>
    <row r="1402" customHeight="1" spans="1:6">
      <c r="A1402" s="22">
        <v>45943</v>
      </c>
      <c r="B1402" s="23" t="s">
        <v>2292</v>
      </c>
      <c r="C1402" s="23">
        <v>13006381836</v>
      </c>
      <c r="D1402" s="23"/>
      <c r="E1402" s="34" t="s">
        <v>725</v>
      </c>
      <c r="F1402" s="34">
        <v>2</v>
      </c>
    </row>
    <row r="1403" customHeight="1" spans="1:6">
      <c r="A1403" s="22">
        <v>45943</v>
      </c>
      <c r="B1403" s="23" t="s">
        <v>2293</v>
      </c>
      <c r="C1403" s="23">
        <v>18482300310</v>
      </c>
      <c r="D1403" s="23"/>
      <c r="E1403" s="34" t="s">
        <v>725</v>
      </c>
      <c r="F1403" s="34">
        <v>2</v>
      </c>
    </row>
    <row r="1404" customHeight="1" spans="1:6">
      <c r="A1404" s="22">
        <v>45943</v>
      </c>
      <c r="B1404" s="23" t="s">
        <v>1440</v>
      </c>
      <c r="C1404" s="23">
        <v>17371064326</v>
      </c>
      <c r="D1404" s="23"/>
      <c r="E1404" s="34" t="s">
        <v>725</v>
      </c>
      <c r="F1404" s="34">
        <v>2</v>
      </c>
    </row>
    <row r="1405" customHeight="1" spans="1:6">
      <c r="A1405" s="22">
        <v>45943</v>
      </c>
      <c r="B1405" s="23" t="s">
        <v>2289</v>
      </c>
      <c r="C1405" s="23">
        <v>18971514481</v>
      </c>
      <c r="D1405" s="23"/>
      <c r="E1405" s="34" t="s">
        <v>725</v>
      </c>
      <c r="F1405" s="34">
        <v>2</v>
      </c>
    </row>
    <row r="1406" customHeight="1" spans="1:6">
      <c r="A1406" s="22">
        <v>45944</v>
      </c>
      <c r="B1406" s="23" t="s">
        <v>315</v>
      </c>
      <c r="C1406" s="23">
        <v>17786320477</v>
      </c>
      <c r="D1406" s="23"/>
      <c r="E1406" s="34" t="s">
        <v>725</v>
      </c>
      <c r="F1406" s="34">
        <v>2</v>
      </c>
    </row>
    <row r="1407" customHeight="1" spans="1:6">
      <c r="A1407" s="22">
        <v>45944</v>
      </c>
      <c r="B1407" s="23" t="s">
        <v>2294</v>
      </c>
      <c r="C1407" s="23">
        <v>13774087882</v>
      </c>
      <c r="D1407" s="23"/>
      <c r="E1407" s="34" t="s">
        <v>725</v>
      </c>
      <c r="F1407" s="34">
        <v>2</v>
      </c>
    </row>
    <row r="1408" customHeight="1" spans="1:6">
      <c r="A1408" s="22">
        <v>45944</v>
      </c>
      <c r="B1408" s="23" t="s">
        <v>2295</v>
      </c>
      <c r="C1408" s="23" t="s">
        <v>2295</v>
      </c>
      <c r="D1408" s="23"/>
      <c r="E1408" s="34" t="s">
        <v>725</v>
      </c>
      <c r="F1408" s="34">
        <v>2</v>
      </c>
    </row>
    <row r="1409" customHeight="1" spans="1:6">
      <c r="A1409" s="22">
        <v>45944</v>
      </c>
      <c r="B1409" s="23" t="s">
        <v>560</v>
      </c>
      <c r="C1409" s="23" t="s">
        <v>560</v>
      </c>
      <c r="D1409" s="23"/>
      <c r="E1409" s="34" t="s">
        <v>725</v>
      </c>
      <c r="F1409" s="34">
        <v>2</v>
      </c>
    </row>
    <row r="1410" customHeight="1" spans="1:6">
      <c r="A1410" s="22">
        <v>45944</v>
      </c>
      <c r="B1410" s="26" t="s">
        <v>2296</v>
      </c>
      <c r="C1410" s="26">
        <v>18986822892</v>
      </c>
      <c r="D1410" s="23"/>
      <c r="E1410" s="34" t="s">
        <v>725</v>
      </c>
      <c r="F1410" s="34">
        <v>2</v>
      </c>
    </row>
    <row r="1411" customHeight="1" spans="1:6">
      <c r="A1411" s="22">
        <v>45944</v>
      </c>
      <c r="B1411" s="26" t="s">
        <v>2297</v>
      </c>
      <c r="C1411" s="26">
        <v>15571368173</v>
      </c>
      <c r="D1411" s="23"/>
      <c r="E1411" s="34" t="s">
        <v>725</v>
      </c>
      <c r="F1411" s="34">
        <v>2</v>
      </c>
    </row>
    <row r="1412" customHeight="1" spans="1:6">
      <c r="A1412" s="22">
        <v>45944</v>
      </c>
      <c r="B1412" s="26" t="s">
        <v>2298</v>
      </c>
      <c r="C1412" s="26">
        <v>18508970328</v>
      </c>
      <c r="D1412" s="23"/>
      <c r="E1412" s="34" t="s">
        <v>725</v>
      </c>
      <c r="F1412" s="34">
        <v>2</v>
      </c>
    </row>
    <row r="1413" customHeight="1" spans="1:6">
      <c r="A1413" s="22">
        <v>45944</v>
      </c>
      <c r="B1413" s="23" t="s">
        <v>2299</v>
      </c>
      <c r="C1413" s="23">
        <v>17393313901</v>
      </c>
      <c r="D1413" s="23"/>
      <c r="E1413" s="34" t="s">
        <v>725</v>
      </c>
      <c r="F1413" s="34">
        <v>2</v>
      </c>
    </row>
    <row r="1414" customHeight="1" spans="1:6">
      <c r="A1414" s="22">
        <v>45944</v>
      </c>
      <c r="B1414" s="26" t="s">
        <v>2300</v>
      </c>
      <c r="C1414" s="26">
        <v>19855112816</v>
      </c>
      <c r="D1414" s="23"/>
      <c r="E1414" s="34" t="s">
        <v>725</v>
      </c>
      <c r="F1414" s="34">
        <v>2</v>
      </c>
    </row>
    <row r="1415" customHeight="1" spans="1:6">
      <c r="A1415" s="22">
        <v>45944</v>
      </c>
      <c r="B1415" s="26" t="s">
        <v>2301</v>
      </c>
      <c r="C1415" s="26">
        <v>18748986438</v>
      </c>
      <c r="D1415" s="23"/>
      <c r="E1415" s="34" t="s">
        <v>725</v>
      </c>
      <c r="F1415" s="34">
        <v>2</v>
      </c>
    </row>
    <row r="1416" customHeight="1" spans="1:6">
      <c r="A1416" s="22">
        <v>45945</v>
      </c>
      <c r="B1416" s="26" t="s">
        <v>2302</v>
      </c>
      <c r="C1416" s="26">
        <v>13437229355</v>
      </c>
      <c r="D1416" s="23"/>
      <c r="E1416" s="34" t="s">
        <v>725</v>
      </c>
      <c r="F1416" s="34">
        <v>2</v>
      </c>
    </row>
    <row r="1417" customHeight="1" spans="1:6">
      <c r="A1417" s="22">
        <v>45945</v>
      </c>
      <c r="B1417" s="26" t="s">
        <v>2303</v>
      </c>
      <c r="C1417" s="26">
        <v>13971830931</v>
      </c>
      <c r="D1417" s="23"/>
      <c r="E1417" s="34" t="s">
        <v>725</v>
      </c>
      <c r="F1417" s="34">
        <v>2</v>
      </c>
    </row>
    <row r="1418" customHeight="1" spans="1:6">
      <c r="A1418" s="22">
        <v>45946</v>
      </c>
      <c r="B1418" s="26" t="s">
        <v>2304</v>
      </c>
      <c r="C1418" s="26">
        <v>17323722024</v>
      </c>
      <c r="D1418" s="23"/>
      <c r="E1418" s="34" t="s">
        <v>725</v>
      </c>
      <c r="F1418" s="34">
        <v>2</v>
      </c>
    </row>
    <row r="1419" customHeight="1" spans="1:6">
      <c r="A1419" s="22">
        <v>45946</v>
      </c>
      <c r="B1419" s="23" t="s">
        <v>2125</v>
      </c>
      <c r="C1419" s="23">
        <v>15910461561</v>
      </c>
      <c r="D1419" s="23"/>
      <c r="E1419" s="34" t="s">
        <v>725</v>
      </c>
      <c r="F1419" s="34">
        <v>2</v>
      </c>
    </row>
    <row r="1420" customHeight="1" spans="1:6">
      <c r="A1420" s="22">
        <v>45946</v>
      </c>
      <c r="B1420" s="26" t="s">
        <v>2305</v>
      </c>
      <c r="C1420" s="26">
        <v>17777069147</v>
      </c>
      <c r="D1420" s="23"/>
      <c r="E1420" s="34" t="s">
        <v>725</v>
      </c>
      <c r="F1420" s="34">
        <v>2</v>
      </c>
    </row>
    <row r="1421" customHeight="1" spans="1:6">
      <c r="A1421" s="22">
        <v>45946</v>
      </c>
      <c r="B1421" s="26" t="s">
        <v>2306</v>
      </c>
      <c r="C1421" s="26">
        <v>19169643805</v>
      </c>
      <c r="D1421" s="23"/>
      <c r="E1421" s="34" t="s">
        <v>725</v>
      </c>
      <c r="F1421" s="34">
        <v>2</v>
      </c>
    </row>
    <row r="1422" customHeight="1" spans="1:6">
      <c r="A1422" s="22">
        <v>45946</v>
      </c>
      <c r="B1422" s="23" t="s">
        <v>2307</v>
      </c>
      <c r="C1422" s="23">
        <v>15936370618</v>
      </c>
      <c r="D1422" s="23"/>
      <c r="E1422" s="34" t="s">
        <v>725</v>
      </c>
      <c r="F1422" s="34">
        <v>2</v>
      </c>
    </row>
    <row r="1423" customHeight="1" spans="1:6">
      <c r="A1423" s="22">
        <v>45948</v>
      </c>
      <c r="B1423" s="23" t="s">
        <v>1215</v>
      </c>
      <c r="C1423" s="23">
        <v>15071755071</v>
      </c>
      <c r="D1423" s="23"/>
      <c r="E1423" s="34" t="s">
        <v>725</v>
      </c>
      <c r="F1423" s="34">
        <v>2</v>
      </c>
    </row>
    <row r="1424" customHeight="1" spans="1:6">
      <c r="A1424" s="22">
        <v>45948</v>
      </c>
      <c r="B1424" s="23" t="s">
        <v>2308</v>
      </c>
      <c r="C1424" s="23">
        <v>17364844494</v>
      </c>
      <c r="D1424" s="23"/>
      <c r="E1424" s="23" t="s">
        <v>725</v>
      </c>
      <c r="F1424" s="34">
        <v>2</v>
      </c>
    </row>
    <row r="1425" customHeight="1" spans="1:6">
      <c r="A1425" s="22">
        <v>45948</v>
      </c>
      <c r="B1425" s="23" t="s">
        <v>2226</v>
      </c>
      <c r="C1425" s="23">
        <v>19805697638</v>
      </c>
      <c r="D1425" s="23"/>
      <c r="E1425" s="23" t="s">
        <v>725</v>
      </c>
      <c r="F1425" s="34">
        <v>2</v>
      </c>
    </row>
    <row r="1426" customHeight="1" spans="1:6">
      <c r="A1426" s="22">
        <v>45949</v>
      </c>
      <c r="B1426" s="23" t="s">
        <v>2309</v>
      </c>
      <c r="C1426" s="23">
        <v>18163007759</v>
      </c>
      <c r="D1426" s="23"/>
      <c r="E1426" s="23" t="s">
        <v>800</v>
      </c>
      <c r="F1426" s="23">
        <v>1</v>
      </c>
    </row>
    <row r="1427" customHeight="1" spans="1:6">
      <c r="A1427" s="22">
        <v>45949</v>
      </c>
      <c r="B1427" s="23" t="s">
        <v>2310</v>
      </c>
      <c r="C1427" s="23">
        <v>18797395275</v>
      </c>
      <c r="D1427" s="23"/>
      <c r="E1427" s="23" t="s">
        <v>1087</v>
      </c>
      <c r="F1427" s="23">
        <v>1</v>
      </c>
    </row>
    <row r="1428" customHeight="1" spans="1:6">
      <c r="A1428" s="22">
        <v>45950</v>
      </c>
      <c r="B1428" s="23" t="s">
        <v>2311</v>
      </c>
      <c r="C1428" s="23">
        <v>15787876071</v>
      </c>
      <c r="D1428" s="23"/>
      <c r="E1428" s="34" t="s">
        <v>725</v>
      </c>
      <c r="F1428" s="34">
        <v>2</v>
      </c>
    </row>
    <row r="1429" customHeight="1" spans="1:6">
      <c r="A1429" s="22">
        <v>45950</v>
      </c>
      <c r="B1429" s="23" t="s">
        <v>2312</v>
      </c>
      <c r="C1429" s="23">
        <v>18696276683</v>
      </c>
      <c r="D1429" s="23"/>
      <c r="E1429" s="34" t="s">
        <v>725</v>
      </c>
      <c r="F1429" s="34">
        <v>2</v>
      </c>
    </row>
    <row r="1430" customHeight="1" spans="1:6">
      <c r="A1430" s="22">
        <v>45950</v>
      </c>
      <c r="B1430" s="23" t="s">
        <v>2313</v>
      </c>
      <c r="C1430" s="23">
        <v>15623628386</v>
      </c>
      <c r="D1430" s="23"/>
      <c r="E1430" s="34" t="s">
        <v>725</v>
      </c>
      <c r="F1430" s="34">
        <v>2</v>
      </c>
    </row>
    <row r="1431" customHeight="1" spans="1:6">
      <c r="A1431" s="22">
        <v>45950</v>
      </c>
      <c r="B1431" s="23" t="s">
        <v>2314</v>
      </c>
      <c r="C1431" s="23">
        <v>15039606022</v>
      </c>
      <c r="D1431" s="23"/>
      <c r="E1431" s="34" t="s">
        <v>725</v>
      </c>
      <c r="F1431" s="34">
        <v>2</v>
      </c>
    </row>
    <row r="1432" customHeight="1" spans="1:6">
      <c r="A1432" s="22">
        <v>45950</v>
      </c>
      <c r="B1432" s="23" t="s">
        <v>2315</v>
      </c>
      <c r="C1432" s="23">
        <v>15277014541</v>
      </c>
      <c r="D1432" s="23"/>
      <c r="E1432" s="34" t="s">
        <v>725</v>
      </c>
      <c r="F1432" s="34">
        <v>2</v>
      </c>
    </row>
    <row r="1433" customHeight="1" spans="1:6">
      <c r="A1433" s="22">
        <v>45950</v>
      </c>
      <c r="B1433" s="23" t="s">
        <v>2316</v>
      </c>
      <c r="C1433" s="23">
        <v>18573787081</v>
      </c>
      <c r="D1433" s="23"/>
      <c r="E1433" s="34" t="s">
        <v>725</v>
      </c>
      <c r="F1433" s="34">
        <v>2</v>
      </c>
    </row>
    <row r="1434" customHeight="1" spans="1:6">
      <c r="A1434" s="22">
        <v>45950</v>
      </c>
      <c r="B1434" s="23" t="s">
        <v>2317</v>
      </c>
      <c r="C1434" s="23">
        <v>18918307870</v>
      </c>
      <c r="D1434" s="23"/>
      <c r="E1434" s="34" t="s">
        <v>725</v>
      </c>
      <c r="F1434" s="34">
        <v>2</v>
      </c>
    </row>
    <row r="1435" customHeight="1" spans="1:6">
      <c r="A1435" s="22">
        <v>45952</v>
      </c>
      <c r="B1435" s="23" t="s">
        <v>2318</v>
      </c>
      <c r="C1435" s="23">
        <v>13678608566</v>
      </c>
      <c r="D1435" s="23"/>
      <c r="E1435" s="23" t="s">
        <v>725</v>
      </c>
      <c r="F1435" s="23">
        <v>2</v>
      </c>
    </row>
    <row r="1436" customHeight="1" spans="1:6">
      <c r="A1436" s="22">
        <v>45952</v>
      </c>
      <c r="B1436" s="23" t="s">
        <v>2319</v>
      </c>
      <c r="C1436" s="23"/>
      <c r="D1436" s="23"/>
      <c r="E1436" s="23" t="s">
        <v>797</v>
      </c>
      <c r="F1436" s="23">
        <v>2</v>
      </c>
    </row>
    <row r="1437" customHeight="1" spans="1:6">
      <c r="A1437" s="22">
        <v>45952</v>
      </c>
      <c r="B1437" s="23" t="s">
        <v>2320</v>
      </c>
      <c r="C1437" s="23">
        <v>15137192233</v>
      </c>
      <c r="D1437" s="23"/>
      <c r="E1437" s="23" t="s">
        <v>725</v>
      </c>
      <c r="F1437" s="23">
        <v>2</v>
      </c>
    </row>
    <row r="1438" customHeight="1" spans="1:6">
      <c r="A1438" s="22">
        <v>45953</v>
      </c>
      <c r="B1438" s="23" t="s">
        <v>2321</v>
      </c>
      <c r="C1438" s="23">
        <v>13554626580</v>
      </c>
      <c r="D1438" s="23"/>
      <c r="E1438" s="23" t="s">
        <v>725</v>
      </c>
      <c r="F1438" s="23">
        <v>2</v>
      </c>
    </row>
    <row r="1439" customHeight="1" spans="1:6">
      <c r="A1439" s="22">
        <v>45953</v>
      </c>
      <c r="B1439" s="23" t="s">
        <v>2322</v>
      </c>
      <c r="C1439" s="23">
        <v>18371006068</v>
      </c>
      <c r="D1439" s="23"/>
      <c r="E1439" s="23" t="s">
        <v>725</v>
      </c>
      <c r="F1439" s="23">
        <v>2</v>
      </c>
    </row>
    <row r="1440" customHeight="1" spans="1:6">
      <c r="A1440" s="22">
        <v>45954</v>
      </c>
      <c r="B1440" s="39" t="s">
        <v>2323</v>
      </c>
      <c r="C1440" s="26">
        <v>15572438658</v>
      </c>
      <c r="D1440" s="23"/>
      <c r="E1440" s="23" t="s">
        <v>725</v>
      </c>
      <c r="F1440" s="23">
        <v>2</v>
      </c>
    </row>
    <row r="1441" customHeight="1" spans="1:6">
      <c r="A1441" s="22">
        <v>45954</v>
      </c>
      <c r="B1441" s="20" t="s">
        <v>2324</v>
      </c>
      <c r="C1441" s="23">
        <v>17871719911</v>
      </c>
      <c r="D1441" s="23"/>
      <c r="E1441" s="23" t="s">
        <v>725</v>
      </c>
      <c r="F1441" s="23">
        <v>2</v>
      </c>
    </row>
    <row r="1442" customHeight="1" spans="1:6">
      <c r="A1442" s="22">
        <v>45955</v>
      </c>
      <c r="B1442" s="39" t="s">
        <v>2325</v>
      </c>
      <c r="C1442" s="26">
        <v>15071939685</v>
      </c>
      <c r="D1442" s="23"/>
      <c r="E1442" s="23" t="s">
        <v>725</v>
      </c>
      <c r="F1442" s="23">
        <v>2</v>
      </c>
    </row>
    <row r="1443" customHeight="1" spans="1:6">
      <c r="A1443" s="22">
        <v>45955</v>
      </c>
      <c r="B1443" s="39" t="s">
        <v>2326</v>
      </c>
      <c r="C1443" s="26">
        <v>15072776713</v>
      </c>
      <c r="D1443" s="23"/>
      <c r="E1443" s="23" t="s">
        <v>725</v>
      </c>
      <c r="F1443" s="23">
        <v>2</v>
      </c>
    </row>
    <row r="1444" customHeight="1" spans="1:6">
      <c r="A1444" s="22">
        <v>45956</v>
      </c>
      <c r="B1444" s="39" t="s">
        <v>2327</v>
      </c>
      <c r="C1444" s="26">
        <v>18186399288</v>
      </c>
      <c r="D1444" s="23"/>
      <c r="E1444" s="23" t="s">
        <v>725</v>
      </c>
      <c r="F1444" s="23">
        <v>2</v>
      </c>
    </row>
    <row r="1445" customHeight="1" spans="1:6">
      <c r="A1445" s="22">
        <v>45956</v>
      </c>
      <c r="B1445" s="39" t="s">
        <v>2328</v>
      </c>
      <c r="C1445" s="26">
        <v>17787380657</v>
      </c>
      <c r="D1445" s="23"/>
      <c r="E1445" s="23" t="s">
        <v>725</v>
      </c>
      <c r="F1445" s="23">
        <v>2</v>
      </c>
    </row>
    <row r="1446" customHeight="1" spans="1:6">
      <c r="A1446" s="22">
        <v>45958</v>
      </c>
      <c r="B1446" s="26" t="s">
        <v>2329</v>
      </c>
      <c r="C1446" s="26">
        <v>15527601897</v>
      </c>
      <c r="D1446" s="23"/>
      <c r="E1446" s="23" t="s">
        <v>742</v>
      </c>
      <c r="F1446" s="23">
        <v>1</v>
      </c>
    </row>
    <row r="1447" customHeight="1" spans="1:6">
      <c r="A1447" s="22">
        <v>45958</v>
      </c>
      <c r="B1447" s="23" t="s">
        <v>1464</v>
      </c>
      <c r="C1447" s="23">
        <v>15327719628</v>
      </c>
      <c r="D1447" s="23"/>
      <c r="E1447" s="23" t="s">
        <v>980</v>
      </c>
      <c r="F1447" s="23">
        <v>1</v>
      </c>
    </row>
    <row r="1448" customHeight="1" spans="1:6">
      <c r="A1448" s="22">
        <v>45958</v>
      </c>
      <c r="B1448" s="23" t="s">
        <v>2330</v>
      </c>
      <c r="C1448" s="23">
        <v>19252736245</v>
      </c>
      <c r="D1448" s="23"/>
      <c r="E1448" s="23" t="s">
        <v>980</v>
      </c>
      <c r="F1448" s="23">
        <v>1</v>
      </c>
    </row>
    <row r="1449" customHeight="1" spans="1:6">
      <c r="A1449" s="22">
        <v>45958</v>
      </c>
      <c r="B1449" s="23" t="s">
        <v>2331</v>
      </c>
      <c r="C1449" s="23">
        <v>19268408141</v>
      </c>
      <c r="D1449" s="23"/>
      <c r="E1449" s="23" t="s">
        <v>742</v>
      </c>
      <c r="F1449" s="23">
        <v>1</v>
      </c>
    </row>
    <row r="1450" customHeight="1" spans="1:6">
      <c r="A1450" s="22">
        <v>45959</v>
      </c>
      <c r="B1450" s="23" t="s">
        <v>2332</v>
      </c>
      <c r="C1450" s="23">
        <v>18387337839</v>
      </c>
      <c r="D1450" s="23"/>
      <c r="E1450" s="23" t="s">
        <v>742</v>
      </c>
      <c r="F1450" s="23">
        <v>1</v>
      </c>
    </row>
    <row r="1451" customHeight="1" spans="1:6">
      <c r="A1451" s="22">
        <v>45959</v>
      </c>
      <c r="B1451" s="23" t="s">
        <v>2333</v>
      </c>
      <c r="C1451" s="23">
        <v>13180068122</v>
      </c>
      <c r="D1451" s="23"/>
      <c r="E1451" s="23" t="s">
        <v>742</v>
      </c>
      <c r="F1451" s="23">
        <v>1</v>
      </c>
    </row>
    <row r="1452" customHeight="1" spans="1:6">
      <c r="A1452" s="22">
        <v>45959</v>
      </c>
      <c r="B1452" s="26" t="s">
        <v>2334</v>
      </c>
      <c r="C1452" s="26">
        <v>16673340592</v>
      </c>
      <c r="D1452" s="23"/>
      <c r="E1452" s="23" t="s">
        <v>742</v>
      </c>
      <c r="F1452" s="23">
        <v>1</v>
      </c>
    </row>
    <row r="1453" customHeight="1" spans="1:6">
      <c r="A1453" s="22">
        <v>45961</v>
      </c>
      <c r="B1453" s="26" t="s">
        <v>2335</v>
      </c>
      <c r="C1453" s="26">
        <v>13071210749</v>
      </c>
      <c r="D1453" s="23"/>
      <c r="E1453" s="23" t="s">
        <v>742</v>
      </c>
      <c r="F1453" s="23">
        <v>1</v>
      </c>
    </row>
    <row r="1454" customHeight="1" spans="1:6">
      <c r="A1454" s="22">
        <v>45961</v>
      </c>
      <c r="B1454" s="26" t="s">
        <v>2336</v>
      </c>
      <c r="C1454" s="26" t="s">
        <v>2337</v>
      </c>
      <c r="D1454" s="23"/>
      <c r="E1454" s="23" t="s">
        <v>742</v>
      </c>
      <c r="F1454" s="23">
        <v>1</v>
      </c>
    </row>
    <row r="1455" customHeight="1" spans="1:6">
      <c r="A1455" s="22">
        <v>45961</v>
      </c>
      <c r="B1455" s="26" t="s">
        <v>2338</v>
      </c>
      <c r="C1455" s="26">
        <v>18872233884</v>
      </c>
      <c r="D1455" s="23"/>
      <c r="E1455" s="23" t="s">
        <v>742</v>
      </c>
      <c r="F1455" s="23">
        <v>1</v>
      </c>
    </row>
    <row r="1456" customHeight="1" spans="1:6">
      <c r="A1456" s="22">
        <v>45963</v>
      </c>
      <c r="B1456" s="23" t="s">
        <v>729</v>
      </c>
      <c r="C1456" s="23">
        <v>18256906149</v>
      </c>
      <c r="D1456" s="23"/>
      <c r="E1456" s="23" t="s">
        <v>742</v>
      </c>
      <c r="F1456" s="23">
        <v>1</v>
      </c>
    </row>
    <row r="1457" customHeight="1" spans="1:11">
      <c r="A1457" s="22">
        <v>45966</v>
      </c>
      <c r="B1457" s="26" t="s">
        <v>2339</v>
      </c>
      <c r="C1457" s="26">
        <v>19164023009</v>
      </c>
      <c r="D1457" s="23"/>
      <c r="E1457" s="23" t="s">
        <v>836</v>
      </c>
      <c r="F1457" s="23">
        <v>2</v>
      </c>
    </row>
    <row r="1458" customHeight="1" spans="1:11">
      <c r="A1458" s="22">
        <v>45966</v>
      </c>
      <c r="B1458" s="26" t="s">
        <v>2340</v>
      </c>
      <c r="C1458" s="26">
        <v>17375102080</v>
      </c>
      <c r="D1458" s="23"/>
      <c r="E1458" s="23" t="s">
        <v>843</v>
      </c>
      <c r="F1458" s="23" t="s">
        <v>2341</v>
      </c>
    </row>
    <row r="1459" customHeight="1" spans="1:11">
      <c r="A1459" s="22">
        <v>45966</v>
      </c>
      <c r="B1459" s="23" t="s">
        <v>2342</v>
      </c>
      <c r="C1459" s="23">
        <v>13006333905</v>
      </c>
      <c r="D1459" s="23"/>
      <c r="E1459" s="23" t="s">
        <v>843</v>
      </c>
      <c r="F1459" s="23">
        <v>1</v>
      </c>
    </row>
    <row r="1460" customHeight="1" spans="1:11">
      <c r="A1460" s="22">
        <v>45966</v>
      </c>
      <c r="B1460" s="26" t="s">
        <v>2343</v>
      </c>
      <c r="C1460" s="26">
        <v>15027060035</v>
      </c>
      <c r="D1460" s="23"/>
      <c r="E1460" s="23" t="s">
        <v>836</v>
      </c>
      <c r="F1460" s="23">
        <v>2</v>
      </c>
    </row>
    <row r="1461" customHeight="1" spans="1:11">
      <c r="A1461" s="22">
        <v>45966</v>
      </c>
      <c r="B1461" s="26" t="s">
        <v>2344</v>
      </c>
      <c r="C1461" s="26">
        <v>17373361387</v>
      </c>
      <c r="D1461" s="23"/>
      <c r="E1461" s="23" t="s">
        <v>836</v>
      </c>
      <c r="F1461" s="23">
        <v>2</v>
      </c>
    </row>
    <row r="1462" customHeight="1" spans="1:11">
      <c r="A1462" s="22">
        <v>45966</v>
      </c>
      <c r="B1462" s="26" t="s">
        <v>2345</v>
      </c>
      <c r="C1462" s="26">
        <v>18062549682</v>
      </c>
      <c r="D1462" s="23"/>
      <c r="E1462" s="23" t="s">
        <v>836</v>
      </c>
      <c r="F1462" s="23">
        <v>2</v>
      </c>
    </row>
    <row r="1463" customHeight="1" spans="1:11">
      <c r="A1463" s="22">
        <v>45967</v>
      </c>
      <c r="B1463" s="23" t="s">
        <v>2346</v>
      </c>
      <c r="C1463" s="23">
        <v>15799605917</v>
      </c>
      <c r="D1463" s="23"/>
      <c r="E1463" s="23" t="s">
        <v>725</v>
      </c>
      <c r="F1463" s="23">
        <v>2</v>
      </c>
    </row>
    <row r="1464" customHeight="1" spans="1:11">
      <c r="A1464" s="22">
        <v>45967</v>
      </c>
      <c r="B1464" s="23" t="s">
        <v>204</v>
      </c>
      <c r="C1464" s="23">
        <v>13347571417</v>
      </c>
      <c r="D1464" s="23"/>
      <c r="E1464" s="23" t="s">
        <v>725</v>
      </c>
      <c r="F1464" s="23">
        <v>2</v>
      </c>
    </row>
    <row r="1465" customHeight="1" spans="1:11">
      <c r="A1465" s="22">
        <v>45967</v>
      </c>
      <c r="B1465" s="23" t="s">
        <v>2347</v>
      </c>
      <c r="C1465" s="23">
        <v>15554930039</v>
      </c>
      <c r="D1465" s="23"/>
      <c r="E1465" s="23" t="s">
        <v>725</v>
      </c>
      <c r="F1465" s="23">
        <v>2</v>
      </c>
    </row>
    <row r="1466" customHeight="1" spans="1:11">
      <c r="A1466" s="22">
        <v>45967</v>
      </c>
      <c r="B1466" s="23"/>
      <c r="C1466" s="23">
        <v>18607106019</v>
      </c>
      <c r="D1466" s="23"/>
      <c r="E1466" s="23" t="s">
        <v>725</v>
      </c>
      <c r="F1466" s="23">
        <v>2</v>
      </c>
    </row>
    <row r="1467" customHeight="1" spans="1:11">
      <c r="A1467" s="22">
        <v>45967</v>
      </c>
      <c r="B1467" s="23" t="s">
        <v>2348</v>
      </c>
      <c r="C1467" s="23">
        <v>18639708209</v>
      </c>
      <c r="D1467" s="23"/>
      <c r="E1467" s="23" t="s">
        <v>725</v>
      </c>
      <c r="F1467" s="23">
        <v>2</v>
      </c>
      <c r="K1467" t="s">
        <v>2349</v>
      </c>
    </row>
    <row r="1468" customHeight="1" spans="1:11">
      <c r="A1468" s="22">
        <v>45967</v>
      </c>
      <c r="B1468" s="23" t="s">
        <v>2350</v>
      </c>
      <c r="C1468" s="23">
        <v>17838953957</v>
      </c>
      <c r="D1468" s="23"/>
      <c r="E1468" s="23" t="s">
        <v>725</v>
      </c>
      <c r="F1468" s="23">
        <v>2</v>
      </c>
    </row>
    <row r="1469" customHeight="1" spans="1:11">
      <c r="A1469" s="22">
        <v>45967</v>
      </c>
      <c r="B1469" s="23" t="s">
        <v>2348</v>
      </c>
      <c r="C1469" s="23">
        <v>18639708209</v>
      </c>
      <c r="D1469" s="23"/>
      <c r="E1469" s="23" t="s">
        <v>725</v>
      </c>
      <c r="F1469" s="23">
        <v>2</v>
      </c>
    </row>
    <row r="1470" customHeight="1" spans="1:11">
      <c r="A1470" s="22">
        <v>45968</v>
      </c>
      <c r="B1470" s="23" t="s">
        <v>2351</v>
      </c>
      <c r="C1470" s="23">
        <v>15060648486</v>
      </c>
      <c r="D1470" s="23"/>
      <c r="E1470" s="23" t="s">
        <v>725</v>
      </c>
      <c r="F1470" s="23">
        <v>2</v>
      </c>
    </row>
    <row r="1471" customHeight="1" spans="1:11">
      <c r="A1471" s="22">
        <v>45968</v>
      </c>
      <c r="B1471" s="23" t="s">
        <v>2352</v>
      </c>
      <c r="C1471" s="23">
        <v>18162851071</v>
      </c>
      <c r="D1471" s="23"/>
      <c r="E1471" s="23" t="s">
        <v>843</v>
      </c>
      <c r="F1471" s="23">
        <v>1</v>
      </c>
    </row>
    <row r="1472" customHeight="1" spans="1:11">
      <c r="A1472" s="22">
        <v>45968</v>
      </c>
      <c r="B1472" s="26" t="s">
        <v>2353</v>
      </c>
      <c r="C1472" s="26">
        <v>15071907313</v>
      </c>
      <c r="D1472" s="23"/>
      <c r="E1472" s="23" t="s">
        <v>843</v>
      </c>
      <c r="F1472" s="23">
        <v>1</v>
      </c>
    </row>
    <row r="1473" customHeight="1" spans="1:6">
      <c r="A1473" s="22">
        <v>45968</v>
      </c>
      <c r="B1473" s="26" t="s">
        <v>2354</v>
      </c>
      <c r="C1473" s="26">
        <v>13392597285</v>
      </c>
      <c r="D1473" s="23"/>
      <c r="E1473" s="23" t="s">
        <v>742</v>
      </c>
      <c r="F1473" s="23">
        <v>1</v>
      </c>
    </row>
    <row r="1474" customHeight="1" spans="1:6">
      <c r="A1474" s="22">
        <v>45968</v>
      </c>
      <c r="B1474" s="26" t="s">
        <v>2355</v>
      </c>
      <c r="C1474" s="26">
        <v>17786215525</v>
      </c>
      <c r="D1474" s="23"/>
      <c r="E1474" s="23" t="s">
        <v>836</v>
      </c>
      <c r="F1474" s="23">
        <v>1</v>
      </c>
    </row>
    <row r="1475" customHeight="1" spans="1:6">
      <c r="A1475" s="22">
        <v>45969</v>
      </c>
      <c r="B1475" s="23" t="s">
        <v>2356</v>
      </c>
      <c r="C1475" s="23">
        <v>15927653715</v>
      </c>
      <c r="D1475" s="23"/>
      <c r="E1475" s="23" t="s">
        <v>843</v>
      </c>
      <c r="F1475" s="23">
        <v>1</v>
      </c>
    </row>
    <row r="1476" customHeight="1" spans="1:6">
      <c r="A1476" s="22">
        <v>45969</v>
      </c>
      <c r="B1476" s="26" t="s">
        <v>1092</v>
      </c>
      <c r="C1476" s="26">
        <v>13870538962</v>
      </c>
      <c r="E1476" s="23" t="s">
        <v>843</v>
      </c>
      <c r="F1476" s="23">
        <v>1</v>
      </c>
    </row>
    <row r="1477" customHeight="1" spans="1:6">
      <c r="A1477" s="36">
        <v>45969</v>
      </c>
      <c r="B1477" s="35" t="s">
        <v>2357</v>
      </c>
      <c r="C1477" s="35">
        <v>15629137780</v>
      </c>
      <c r="E1477" s="34" t="s">
        <v>725</v>
      </c>
      <c r="F1477" s="34">
        <v>2</v>
      </c>
    </row>
    <row r="1478" customHeight="1" spans="1:6">
      <c r="A1478" s="22">
        <v>45971</v>
      </c>
      <c r="B1478" s="23" t="s">
        <v>2358</v>
      </c>
      <c r="C1478" s="23">
        <v>15558027526</v>
      </c>
      <c r="D1478" s="23"/>
      <c r="E1478" s="23" t="s">
        <v>725</v>
      </c>
      <c r="F1478" s="23">
        <v>1</v>
      </c>
    </row>
    <row r="1479" customHeight="1" spans="1:6">
      <c r="A1479" s="22">
        <v>45972</v>
      </c>
      <c r="B1479" s="23" t="s">
        <v>2359</v>
      </c>
      <c r="C1479" s="23">
        <v>19972773652</v>
      </c>
      <c r="D1479" s="23"/>
      <c r="E1479" s="23" t="s">
        <v>2360</v>
      </c>
      <c r="F1479" s="23">
        <v>1</v>
      </c>
    </row>
    <row r="1480" customHeight="1" spans="1:6">
      <c r="A1480" s="22">
        <v>45972</v>
      </c>
      <c r="B1480" s="23" t="s">
        <v>2361</v>
      </c>
      <c r="C1480" s="23">
        <v>17607245754</v>
      </c>
      <c r="D1480" s="23"/>
      <c r="E1480" s="23" t="s">
        <v>2360</v>
      </c>
      <c r="F1480" s="23">
        <v>1</v>
      </c>
    </row>
    <row r="1481" customHeight="1" spans="1:6">
      <c r="A1481" s="22">
        <v>45973</v>
      </c>
      <c r="B1481" s="23" t="s">
        <v>2362</v>
      </c>
      <c r="C1481" s="23">
        <v>13976200174</v>
      </c>
      <c r="D1481" s="23"/>
      <c r="E1481" s="23" t="s">
        <v>725</v>
      </c>
      <c r="F1481" s="23">
        <v>1</v>
      </c>
    </row>
    <row r="1482" customHeight="1" spans="1:6">
      <c r="A1482" s="22">
        <v>45973</v>
      </c>
      <c r="B1482" s="23" t="s">
        <v>2363</v>
      </c>
      <c r="C1482" s="23">
        <v>18827186089</v>
      </c>
      <c r="D1482" s="23"/>
      <c r="E1482" s="23" t="s">
        <v>725</v>
      </c>
      <c r="F1482" s="23"/>
    </row>
    <row r="1483" customHeight="1" spans="1:6">
      <c r="A1483" s="22">
        <v>45974</v>
      </c>
      <c r="B1483" s="23" t="s">
        <v>2364</v>
      </c>
      <c r="C1483" s="23">
        <v>18062657257</v>
      </c>
      <c r="D1483" s="23"/>
      <c r="E1483" s="23" t="s">
        <v>843</v>
      </c>
      <c r="F1483" s="23">
        <v>3</v>
      </c>
    </row>
    <row r="1484" customHeight="1" spans="1:6">
      <c r="A1484" s="22">
        <v>45974</v>
      </c>
      <c r="B1484" s="26" t="s">
        <v>2344</v>
      </c>
      <c r="C1484" s="26">
        <v>17373361387</v>
      </c>
      <c r="D1484" s="23"/>
      <c r="E1484" s="23" t="s">
        <v>725</v>
      </c>
      <c r="F1484" s="23">
        <v>2</v>
      </c>
    </row>
    <row r="1485" customHeight="1" spans="1:6">
      <c r="A1485" s="22">
        <v>45974</v>
      </c>
      <c r="B1485" s="26" t="s">
        <v>2365</v>
      </c>
      <c r="C1485" s="26">
        <v>18355916929</v>
      </c>
      <c r="D1485" s="23"/>
      <c r="E1485" s="23" t="s">
        <v>725</v>
      </c>
      <c r="F1485" s="23">
        <v>2</v>
      </c>
    </row>
    <row r="1486" customHeight="1" spans="1:6">
      <c r="A1486" s="22">
        <v>45974</v>
      </c>
      <c r="B1486" s="23" t="s">
        <v>2366</v>
      </c>
      <c r="C1486" s="23">
        <v>19135733406</v>
      </c>
      <c r="D1486" s="23"/>
      <c r="E1486" s="23" t="s">
        <v>725</v>
      </c>
      <c r="F1486" s="23">
        <v>2</v>
      </c>
    </row>
    <row r="1487" customHeight="1" spans="1:6">
      <c r="A1487" s="22">
        <v>45974</v>
      </c>
      <c r="B1487" s="23" t="s">
        <v>2367</v>
      </c>
      <c r="C1487" s="23">
        <v>15623095872</v>
      </c>
      <c r="D1487" s="23"/>
      <c r="E1487" s="23" t="s">
        <v>843</v>
      </c>
      <c r="F1487" s="23">
        <v>1</v>
      </c>
    </row>
    <row r="1488" customHeight="1" spans="1:6">
      <c r="A1488" s="22">
        <v>45974</v>
      </c>
      <c r="B1488" s="23" t="s">
        <v>2368</v>
      </c>
      <c r="C1488" s="23">
        <v>18995785107</v>
      </c>
      <c r="D1488" s="23"/>
      <c r="E1488" s="23" t="s">
        <v>843</v>
      </c>
      <c r="F1488" s="23">
        <v>1</v>
      </c>
    </row>
    <row r="1489" customHeight="1" spans="1:6">
      <c r="A1489" s="22">
        <v>45975</v>
      </c>
      <c r="B1489" s="26" t="s">
        <v>2369</v>
      </c>
      <c r="C1489" s="26">
        <v>13035353262</v>
      </c>
      <c r="D1489" s="23"/>
      <c r="E1489" s="23" t="s">
        <v>725</v>
      </c>
      <c r="F1489" s="23">
        <v>2</v>
      </c>
    </row>
    <row r="1490" customHeight="1" spans="1:6">
      <c r="A1490" s="22">
        <v>45975</v>
      </c>
      <c r="B1490" s="23" t="s">
        <v>2370</v>
      </c>
      <c r="C1490" s="23">
        <v>13636191979</v>
      </c>
      <c r="D1490" s="23"/>
      <c r="E1490" s="23" t="s">
        <v>725</v>
      </c>
      <c r="F1490" s="23">
        <v>2</v>
      </c>
    </row>
    <row r="1491" customHeight="1" spans="1:6">
      <c r="A1491" s="22">
        <v>45975</v>
      </c>
      <c r="B1491" s="23" t="s">
        <v>2371</v>
      </c>
      <c r="C1491" s="23">
        <v>18327759932</v>
      </c>
      <c r="D1491" s="23"/>
      <c r="E1491" s="23" t="s">
        <v>725</v>
      </c>
      <c r="F1491" s="23">
        <v>2</v>
      </c>
    </row>
    <row r="1492" customHeight="1" spans="1:6">
      <c r="A1492" s="22">
        <v>45976</v>
      </c>
      <c r="B1492" s="26" t="s">
        <v>2372</v>
      </c>
      <c r="C1492" s="26">
        <v>15827100122</v>
      </c>
      <c r="E1492" s="23" t="s">
        <v>843</v>
      </c>
      <c r="F1492" s="23">
        <v>1</v>
      </c>
    </row>
    <row r="1493" customHeight="1" spans="1:6">
      <c r="A1493" s="22">
        <v>45976</v>
      </c>
      <c r="B1493" s="35" t="s">
        <v>2373</v>
      </c>
      <c r="C1493" s="35">
        <v>15671615393</v>
      </c>
      <c r="E1493" s="34" t="s">
        <v>843</v>
      </c>
      <c r="F1493" s="34">
        <v>1</v>
      </c>
    </row>
    <row r="1494" customHeight="1" spans="1:6">
      <c r="A1494" s="22">
        <v>45977</v>
      </c>
      <c r="B1494" s="26" t="s">
        <v>2374</v>
      </c>
      <c r="C1494" s="26">
        <v>13618607365</v>
      </c>
      <c r="D1494" s="23"/>
      <c r="E1494" s="23" t="s">
        <v>725</v>
      </c>
      <c r="F1494" s="23">
        <v>2</v>
      </c>
    </row>
    <row r="1495" customHeight="1" spans="1:6">
      <c r="A1495" s="22">
        <v>45977</v>
      </c>
      <c r="B1495" s="26" t="s">
        <v>2259</v>
      </c>
      <c r="C1495" s="26">
        <v>18986842547</v>
      </c>
      <c r="D1495" s="23"/>
      <c r="E1495" s="23" t="s">
        <v>725</v>
      </c>
      <c r="F1495" s="23">
        <v>2</v>
      </c>
    </row>
    <row r="1496" customHeight="1" spans="1:6">
      <c r="A1496" s="22">
        <v>45977</v>
      </c>
      <c r="B1496" s="23" t="s">
        <v>2375</v>
      </c>
      <c r="C1496" s="23">
        <v>19973389101</v>
      </c>
      <c r="D1496" s="23"/>
      <c r="E1496" s="23" t="s">
        <v>725</v>
      </c>
      <c r="F1496" s="23">
        <v>2</v>
      </c>
    </row>
    <row r="1497" customHeight="1" spans="1:6">
      <c r="A1497" s="22">
        <v>45978</v>
      </c>
      <c r="B1497" s="23" t="s">
        <v>2376</v>
      </c>
      <c r="C1497" s="23">
        <v>13294188809</v>
      </c>
      <c r="D1497" s="23"/>
      <c r="E1497" s="23" t="s">
        <v>2377</v>
      </c>
      <c r="F1497" s="23">
        <v>1</v>
      </c>
    </row>
    <row r="1498" customHeight="1" spans="1:6">
      <c r="A1498" s="22">
        <v>45978</v>
      </c>
      <c r="B1498" s="23" t="s">
        <v>2378</v>
      </c>
      <c r="C1498" s="23">
        <v>13277048722</v>
      </c>
      <c r="D1498" s="23"/>
      <c r="E1498" s="23" t="s">
        <v>2377</v>
      </c>
      <c r="F1498" s="23">
        <v>1</v>
      </c>
    </row>
    <row r="1499" customHeight="1" spans="1:6">
      <c r="A1499" s="22">
        <v>45979</v>
      </c>
      <c r="B1499" s="23" t="s">
        <v>2275</v>
      </c>
      <c r="C1499" s="23">
        <v>19164379582</v>
      </c>
      <c r="D1499" s="23"/>
      <c r="E1499" s="23" t="s">
        <v>742</v>
      </c>
      <c r="F1499" s="23">
        <v>1</v>
      </c>
    </row>
    <row r="1500" customHeight="1" spans="1:6">
      <c r="A1500" s="22">
        <v>45979</v>
      </c>
      <c r="B1500" s="23" t="s">
        <v>2277</v>
      </c>
      <c r="C1500" s="23">
        <v>15827072256</v>
      </c>
      <c r="D1500" s="23"/>
      <c r="E1500" s="23" t="s">
        <v>742</v>
      </c>
      <c r="F1500" s="23">
        <v>1</v>
      </c>
    </row>
    <row r="1501" customHeight="1" spans="1:6">
      <c r="A1501" s="22">
        <v>45979</v>
      </c>
      <c r="B1501" s="23" t="s">
        <v>2379</v>
      </c>
      <c r="C1501" s="23">
        <v>17596506089</v>
      </c>
      <c r="D1501" s="23"/>
      <c r="E1501" s="23" t="s">
        <v>725</v>
      </c>
      <c r="F1501" s="23">
        <v>2</v>
      </c>
    </row>
    <row r="1502" customHeight="1" spans="1:6">
      <c r="A1502" s="22">
        <v>45979</v>
      </c>
      <c r="B1502" s="26" t="s">
        <v>2380</v>
      </c>
      <c r="C1502" s="26">
        <v>18092485134</v>
      </c>
      <c r="D1502" s="23"/>
      <c r="E1502" s="23" t="s">
        <v>725</v>
      </c>
      <c r="F1502" s="23">
        <v>2</v>
      </c>
    </row>
    <row r="1503" customHeight="1" spans="1:6">
      <c r="A1503" s="22">
        <v>45979</v>
      </c>
      <c r="B1503" s="26" t="s">
        <v>1092</v>
      </c>
      <c r="C1503" s="26">
        <v>13870538962</v>
      </c>
      <c r="D1503" s="23"/>
      <c r="E1503" s="23" t="s">
        <v>2381</v>
      </c>
      <c r="F1503" s="23">
        <v>1</v>
      </c>
    </row>
    <row r="1504" customHeight="1" spans="1:6">
      <c r="A1504" s="22">
        <v>45979</v>
      </c>
      <c r="B1504" s="23" t="s">
        <v>2382</v>
      </c>
      <c r="C1504" s="23">
        <v>18571678226</v>
      </c>
      <c r="D1504" s="23"/>
      <c r="E1504" s="23" t="s">
        <v>2383</v>
      </c>
      <c r="F1504" s="23">
        <v>5</v>
      </c>
    </row>
    <row r="1505" customHeight="1" spans="1:6">
      <c r="A1505" s="22">
        <v>45981</v>
      </c>
      <c r="B1505" s="23" t="s">
        <v>2384</v>
      </c>
      <c r="C1505" s="23">
        <v>15587648062</v>
      </c>
      <c r="D1505" s="23"/>
      <c r="E1505" s="23" t="s">
        <v>725</v>
      </c>
      <c r="F1505" s="23">
        <v>2</v>
      </c>
    </row>
    <row r="1506" customHeight="1" spans="1:6">
      <c r="A1506" s="22">
        <v>45981</v>
      </c>
      <c r="B1506" s="26" t="s">
        <v>2372</v>
      </c>
      <c r="C1506" s="26">
        <v>15827100122</v>
      </c>
      <c r="D1506" s="23"/>
      <c r="E1506" s="23" t="s">
        <v>773</v>
      </c>
      <c r="F1506" s="23">
        <v>1</v>
      </c>
    </row>
    <row r="1507" customHeight="1" spans="1:6">
      <c r="A1507" s="22">
        <v>45981</v>
      </c>
      <c r="B1507" s="26" t="s">
        <v>1820</v>
      </c>
      <c r="C1507" s="26">
        <v>15337133772</v>
      </c>
      <c r="D1507" s="23"/>
      <c r="E1507" s="23" t="s">
        <v>2385</v>
      </c>
      <c r="F1507" s="23">
        <v>1</v>
      </c>
    </row>
    <row r="1508" customHeight="1" spans="1:6">
      <c r="A1508" s="22">
        <v>45981</v>
      </c>
      <c r="B1508" s="23" t="s">
        <v>2386</v>
      </c>
      <c r="C1508" s="23">
        <v>18611804648</v>
      </c>
      <c r="D1508" s="23"/>
      <c r="E1508" s="23" t="s">
        <v>725</v>
      </c>
      <c r="F1508" s="23">
        <v>2</v>
      </c>
    </row>
    <row r="1509" customHeight="1" spans="1:6">
      <c r="A1509" s="22">
        <v>45982</v>
      </c>
      <c r="B1509" s="23" t="s">
        <v>2387</v>
      </c>
      <c r="C1509" s="23">
        <v>13277063378</v>
      </c>
      <c r="D1509" s="23"/>
      <c r="E1509" s="23" t="s">
        <v>725</v>
      </c>
      <c r="F1509" s="23">
        <v>2</v>
      </c>
    </row>
    <row r="1510" customHeight="1" spans="1:6">
      <c r="A1510" s="22">
        <v>45982</v>
      </c>
      <c r="B1510" s="23" t="s">
        <v>2388</v>
      </c>
      <c r="C1510" s="23">
        <v>18507135880</v>
      </c>
      <c r="D1510" s="23"/>
      <c r="E1510" s="23" t="s">
        <v>725</v>
      </c>
      <c r="F1510" s="23">
        <v>2</v>
      </c>
    </row>
    <row r="1511" customHeight="1" spans="1:6">
      <c r="A1511" s="22">
        <v>45984</v>
      </c>
      <c r="B1511" s="23" t="s">
        <v>2355</v>
      </c>
      <c r="C1511" s="23">
        <v>17786215525</v>
      </c>
      <c r="D1511" s="23"/>
      <c r="E1511" s="23" t="s">
        <v>773</v>
      </c>
      <c r="F1511" s="23">
        <v>1</v>
      </c>
    </row>
    <row r="1512" customHeight="1" spans="1:6">
      <c r="A1512" s="22">
        <v>45984</v>
      </c>
      <c r="B1512" s="23" t="s">
        <v>2029</v>
      </c>
      <c r="C1512" s="23">
        <v>13516496923</v>
      </c>
      <c r="D1512" s="23"/>
      <c r="E1512" s="23" t="s">
        <v>773</v>
      </c>
      <c r="F1512" s="23">
        <v>1</v>
      </c>
    </row>
    <row r="1513" customHeight="1" spans="1:6">
      <c r="A1513" s="22">
        <v>45985</v>
      </c>
      <c r="B1513" s="23" t="s">
        <v>1677</v>
      </c>
      <c r="C1513" s="23">
        <v>17320504092</v>
      </c>
      <c r="D1513" s="23"/>
      <c r="E1513" s="23" t="s">
        <v>725</v>
      </c>
      <c r="F1513" s="23">
        <v>2</v>
      </c>
    </row>
    <row r="1514" customHeight="1" spans="1:6">
      <c r="A1514" s="22">
        <v>45988</v>
      </c>
      <c r="B1514" s="23" t="s">
        <v>2389</v>
      </c>
      <c r="C1514" s="23">
        <v>17386628476</v>
      </c>
      <c r="D1514" s="23"/>
      <c r="E1514" s="23" t="s">
        <v>725</v>
      </c>
      <c r="F1514" s="23">
        <v>2</v>
      </c>
    </row>
    <row r="1515" customHeight="1" spans="1:6">
      <c r="A1515" s="22">
        <v>45988</v>
      </c>
      <c r="B1515" s="23" t="s">
        <v>2390</v>
      </c>
      <c r="C1515" s="23">
        <v>15171463003</v>
      </c>
      <c r="D1515" s="23"/>
      <c r="E1515" s="23" t="s">
        <v>725</v>
      </c>
      <c r="F1515" s="23">
        <v>2</v>
      </c>
    </row>
    <row r="1516" customHeight="1" spans="1:6">
      <c r="A1516" s="22">
        <v>45988</v>
      </c>
      <c r="B1516" s="23" t="s">
        <v>2391</v>
      </c>
      <c r="C1516" s="23">
        <v>15623906110</v>
      </c>
      <c r="D1516" s="23"/>
      <c r="E1516" s="23" t="s">
        <v>843</v>
      </c>
      <c r="F1516" s="23">
        <v>1</v>
      </c>
    </row>
    <row r="1517" customHeight="1" spans="1:6">
      <c r="A1517" s="22">
        <v>45989</v>
      </c>
      <c r="B1517" s="23" t="s">
        <v>2392</v>
      </c>
      <c r="C1517" s="23">
        <v>13545923247</v>
      </c>
      <c r="D1517" s="23"/>
      <c r="E1517" s="23" t="s">
        <v>725</v>
      </c>
      <c r="F1517" s="23">
        <v>2</v>
      </c>
    </row>
    <row r="1518" customHeight="1" spans="1:6">
      <c r="A1518" s="22">
        <v>45990</v>
      </c>
      <c r="B1518" s="23" t="s">
        <v>2393</v>
      </c>
      <c r="C1518" s="23">
        <v>15071322370</v>
      </c>
      <c r="D1518" s="23"/>
      <c r="E1518" s="23" t="s">
        <v>2394</v>
      </c>
      <c r="F1518" s="23">
        <v>2</v>
      </c>
    </row>
    <row r="1519" customHeight="1" spans="1:6">
      <c r="A1519" s="22">
        <v>45990</v>
      </c>
      <c r="B1519" s="23" t="s">
        <v>2030</v>
      </c>
      <c r="C1519" s="23">
        <v>17767357229</v>
      </c>
      <c r="D1519" s="23"/>
      <c r="E1519" s="23" t="s">
        <v>843</v>
      </c>
      <c r="F1519" s="23">
        <v>1</v>
      </c>
    </row>
    <row r="1520" customHeight="1" spans="1:6">
      <c r="A1520" s="22">
        <v>45991</v>
      </c>
      <c r="B1520" s="23" t="s">
        <v>2100</v>
      </c>
      <c r="C1520" s="23">
        <v>19831229451</v>
      </c>
      <c r="D1520" s="23"/>
      <c r="E1520" s="23" t="s">
        <v>725</v>
      </c>
      <c r="F1520" s="23">
        <v>2</v>
      </c>
    </row>
    <row r="1521" customHeight="1" spans="1:6">
      <c r="A1521" s="22">
        <v>45991</v>
      </c>
      <c r="B1521" s="23" t="s">
        <v>2395</v>
      </c>
      <c r="C1521" s="23">
        <v>19856477181</v>
      </c>
      <c r="D1521" s="23"/>
      <c r="E1521" s="23" t="s">
        <v>725</v>
      </c>
      <c r="F1521" s="23">
        <v>2</v>
      </c>
    </row>
    <row r="1522" customHeight="1" spans="1:6">
      <c r="A1522" s="22">
        <v>45992</v>
      </c>
      <c r="B1522" s="23" t="s">
        <v>2396</v>
      </c>
      <c r="C1522" s="23">
        <v>18277162068</v>
      </c>
      <c r="D1522" s="23"/>
      <c r="E1522" s="23" t="s">
        <v>725</v>
      </c>
      <c r="F1522" s="23">
        <v>2</v>
      </c>
    </row>
    <row r="1523" customHeight="1" spans="1:6">
      <c r="A1523" s="22">
        <v>45993</v>
      </c>
      <c r="B1523" s="26" t="s">
        <v>2397</v>
      </c>
      <c r="C1523" s="26">
        <v>17871392441</v>
      </c>
      <c r="D1523" s="23"/>
      <c r="E1523" s="23" t="s">
        <v>725</v>
      </c>
      <c r="F1523" s="23">
        <v>2</v>
      </c>
    </row>
    <row r="1524" customHeight="1" spans="1:6">
      <c r="A1524" s="22">
        <v>45993</v>
      </c>
      <c r="B1524" s="26" t="s">
        <v>2398</v>
      </c>
      <c r="C1524" s="26">
        <v>19279583964</v>
      </c>
      <c r="D1524" s="23"/>
      <c r="E1524" s="23" t="s">
        <v>843</v>
      </c>
      <c r="F1524" s="23">
        <v>1</v>
      </c>
    </row>
    <row r="1525" customHeight="1" spans="1:6">
      <c r="A1525" s="22">
        <v>45993</v>
      </c>
      <c r="B1525" s="26" t="s">
        <v>1089</v>
      </c>
      <c r="C1525" s="26">
        <v>15653108989</v>
      </c>
      <c r="D1525" s="23"/>
      <c r="E1525" s="23" t="s">
        <v>843</v>
      </c>
      <c r="F1525" s="23">
        <v>1</v>
      </c>
    </row>
    <row r="1526" customHeight="1" spans="1:6">
      <c r="A1526" s="22">
        <v>45994</v>
      </c>
      <c r="B1526" s="23" t="s">
        <v>2399</v>
      </c>
      <c r="C1526" s="23">
        <v>15285609815</v>
      </c>
      <c r="D1526" s="23"/>
      <c r="E1526" s="23" t="s">
        <v>725</v>
      </c>
      <c r="F1526" s="23">
        <v>2</v>
      </c>
    </row>
    <row r="1527" customHeight="1" spans="1:6">
      <c r="A1527" s="22">
        <v>45994</v>
      </c>
      <c r="B1527" s="23" t="s">
        <v>2400</v>
      </c>
      <c r="C1527" s="23">
        <v>13830602729</v>
      </c>
      <c r="D1527" s="23"/>
      <c r="E1527" s="23" t="s">
        <v>725</v>
      </c>
      <c r="F1527" s="23">
        <v>2</v>
      </c>
    </row>
    <row r="1528" customHeight="1" spans="1:6">
      <c r="A1528" s="22">
        <v>45995</v>
      </c>
      <c r="B1528" s="23" t="s">
        <v>2401</v>
      </c>
      <c r="C1528" s="23">
        <v>15838911867</v>
      </c>
      <c r="D1528" s="23"/>
      <c r="E1528" s="23" t="s">
        <v>725</v>
      </c>
      <c r="F1528" s="23">
        <v>2</v>
      </c>
    </row>
    <row r="1529" customHeight="1" spans="1:6">
      <c r="A1529" s="22">
        <v>45996</v>
      </c>
      <c r="B1529" s="20" t="s">
        <v>2402</v>
      </c>
      <c r="C1529" s="20">
        <v>17343351160</v>
      </c>
      <c r="E1529" s="23" t="s">
        <v>725</v>
      </c>
      <c r="F1529" s="23">
        <v>2</v>
      </c>
    </row>
    <row r="1530" customHeight="1" spans="1:6">
      <c r="A1530" s="22">
        <v>45997</v>
      </c>
      <c r="B1530" s="20" t="s">
        <v>2403</v>
      </c>
      <c r="C1530" s="20">
        <v>17708658281</v>
      </c>
      <c r="E1530" s="23" t="s">
        <v>725</v>
      </c>
      <c r="F1530" s="23">
        <v>2</v>
      </c>
    </row>
    <row r="1531" customHeight="1" spans="1:6">
      <c r="A1531" s="22">
        <v>45997</v>
      </c>
      <c r="B1531" s="20" t="s">
        <v>2404</v>
      </c>
      <c r="C1531" s="20">
        <v>17720266239</v>
      </c>
      <c r="E1531" s="23" t="s">
        <v>725</v>
      </c>
      <c r="F1531" s="23">
        <v>2</v>
      </c>
    </row>
    <row r="1532" customHeight="1" spans="1:6">
      <c r="A1532" s="22">
        <v>45997</v>
      </c>
      <c r="B1532" s="20" t="s">
        <v>2405</v>
      </c>
      <c r="C1532" s="20">
        <v>18696277308</v>
      </c>
      <c r="E1532" s="23" t="s">
        <v>725</v>
      </c>
      <c r="F1532" s="23">
        <v>2</v>
      </c>
    </row>
    <row r="1533" customHeight="1" spans="1:6">
      <c r="A1533" s="22">
        <v>45997</v>
      </c>
      <c r="B1533" s="26" t="s">
        <v>2406</v>
      </c>
      <c r="C1533" s="26">
        <v>17683883885</v>
      </c>
      <c r="E1533" s="23" t="s">
        <v>725</v>
      </c>
      <c r="F1533" s="23">
        <v>2</v>
      </c>
    </row>
    <row r="1534" customHeight="1" spans="1:6">
      <c r="A1534" s="22">
        <v>45998</v>
      </c>
      <c r="B1534" s="20" t="s">
        <v>2407</v>
      </c>
      <c r="C1534" s="20">
        <v>17386060400</v>
      </c>
      <c r="E1534" s="23" t="s">
        <v>725</v>
      </c>
      <c r="F1534" s="23">
        <v>2</v>
      </c>
    </row>
    <row r="1535" customHeight="1" spans="1:6">
      <c r="A1535" s="22">
        <v>45998</v>
      </c>
      <c r="B1535" s="26" t="s">
        <v>2408</v>
      </c>
      <c r="C1535" s="26">
        <v>15556437970</v>
      </c>
      <c r="E1535" s="23" t="s">
        <v>725</v>
      </c>
      <c r="F1535" s="23">
        <v>2</v>
      </c>
    </row>
    <row r="1536" customHeight="1" spans="1:6">
      <c r="A1536" s="36">
        <v>45998</v>
      </c>
      <c r="B1536" s="35" t="s">
        <v>2409</v>
      </c>
      <c r="C1536" s="35">
        <v>15990303137</v>
      </c>
      <c r="E1536" s="34" t="s">
        <v>725</v>
      </c>
      <c r="F1536" s="34">
        <v>2</v>
      </c>
    </row>
    <row r="1537" customHeight="1" spans="1:6">
      <c r="A1537" s="22">
        <v>45998</v>
      </c>
      <c r="B1537" s="26" t="s">
        <v>1621</v>
      </c>
      <c r="C1537" s="26">
        <v>15391554696</v>
      </c>
      <c r="D1537" s="23"/>
      <c r="E1537" s="23" t="s">
        <v>725</v>
      </c>
      <c r="F1537" s="23">
        <v>2</v>
      </c>
    </row>
    <row r="1538" customHeight="1" spans="1:6">
      <c r="A1538" s="22">
        <v>45998</v>
      </c>
      <c r="B1538" s="26" t="s">
        <v>2410</v>
      </c>
      <c r="C1538" s="26">
        <v>19183928521</v>
      </c>
      <c r="D1538" s="23"/>
      <c r="E1538" s="23" t="s">
        <v>843</v>
      </c>
      <c r="F1538" s="23">
        <v>1</v>
      </c>
    </row>
    <row r="1539" customHeight="1" spans="1:6">
      <c r="A1539" s="22">
        <v>45998</v>
      </c>
      <c r="B1539" s="26" t="s">
        <v>2411</v>
      </c>
      <c r="C1539" s="26">
        <v>15549281194</v>
      </c>
      <c r="D1539" s="23"/>
      <c r="E1539" s="23" t="s">
        <v>843</v>
      </c>
      <c r="F1539" s="23">
        <v>1</v>
      </c>
    </row>
    <row r="1540" customHeight="1" spans="1:6">
      <c r="A1540" s="22">
        <v>45998</v>
      </c>
      <c r="B1540" s="26" t="s">
        <v>2412</v>
      </c>
      <c r="C1540" s="26">
        <v>17386246775</v>
      </c>
      <c r="D1540" s="23"/>
      <c r="E1540" s="23" t="s">
        <v>836</v>
      </c>
      <c r="F1540" s="23">
        <v>2</v>
      </c>
    </row>
    <row r="1541" customHeight="1" spans="1:6">
      <c r="A1541" s="22">
        <v>45998</v>
      </c>
      <c r="B1541" s="26" t="s">
        <v>2413</v>
      </c>
      <c r="C1541" s="26">
        <v>15871925110</v>
      </c>
      <c r="D1541" s="23"/>
      <c r="E1541" s="23" t="s">
        <v>843</v>
      </c>
      <c r="F1541" s="23">
        <v>1</v>
      </c>
    </row>
    <row r="1542" customHeight="1" spans="1:6">
      <c r="A1542" s="22">
        <v>45999</v>
      </c>
      <c r="B1542" s="26" t="s">
        <v>2414</v>
      </c>
      <c r="C1542" s="26">
        <v>17630118025</v>
      </c>
      <c r="E1542" s="23" t="s">
        <v>836</v>
      </c>
      <c r="F1542" s="23">
        <v>2</v>
      </c>
    </row>
    <row r="1543" customHeight="1" spans="1:6">
      <c r="A1543" s="22">
        <v>46000</v>
      </c>
      <c r="B1543" s="26" t="s">
        <v>2415</v>
      </c>
      <c r="C1543" s="26">
        <v>18062630826</v>
      </c>
      <c r="E1543" s="23" t="s">
        <v>836</v>
      </c>
      <c r="F1543" s="23">
        <v>2</v>
      </c>
    </row>
    <row r="1544" customHeight="1" spans="1:6">
      <c r="A1544" s="22">
        <v>46000</v>
      </c>
      <c r="B1544" s="26" t="s">
        <v>2416</v>
      </c>
      <c r="C1544" s="26">
        <v>13317197336</v>
      </c>
      <c r="E1544" s="23" t="s">
        <v>836</v>
      </c>
      <c r="F1544" s="23">
        <v>2</v>
      </c>
    </row>
    <row r="1545" customHeight="1" spans="1:6">
      <c r="A1545" s="22">
        <v>46000</v>
      </c>
      <c r="B1545" s="26" t="s">
        <v>2417</v>
      </c>
      <c r="C1545" s="26">
        <v>16671476577</v>
      </c>
      <c r="E1545" s="23" t="s">
        <v>843</v>
      </c>
      <c r="F1545" s="23">
        <v>1</v>
      </c>
    </row>
    <row r="1546" customHeight="1" spans="1:6">
      <c r="A1546" s="22">
        <v>46001</v>
      </c>
      <c r="B1546" s="26" t="s">
        <v>2418</v>
      </c>
      <c r="C1546" s="26">
        <v>19169298775</v>
      </c>
      <c r="E1546" s="23" t="s">
        <v>836</v>
      </c>
      <c r="F1546" s="23">
        <v>2</v>
      </c>
    </row>
    <row r="1547" customHeight="1" spans="1:6">
      <c r="A1547" s="22">
        <v>46001</v>
      </c>
      <c r="B1547" s="26" t="s">
        <v>1474</v>
      </c>
      <c r="C1547" s="29">
        <v>13545424957</v>
      </c>
      <c r="E1547" s="23" t="s">
        <v>2419</v>
      </c>
      <c r="F1547" s="23">
        <v>1</v>
      </c>
    </row>
    <row r="1548" customHeight="1" spans="1:6">
      <c r="A1548" s="22">
        <v>46001</v>
      </c>
      <c r="B1548" s="26" t="s">
        <v>2420</v>
      </c>
      <c r="C1548" s="26">
        <v>15587630715</v>
      </c>
      <c r="E1548" s="23" t="s">
        <v>753</v>
      </c>
      <c r="F1548" s="23">
        <v>1</v>
      </c>
    </row>
    <row r="1549" customHeight="1" spans="1:6">
      <c r="A1549" s="22">
        <v>46001</v>
      </c>
      <c r="B1549" s="26" t="s">
        <v>2421</v>
      </c>
      <c r="C1549" s="26">
        <v>15671620025</v>
      </c>
      <c r="E1549" s="23" t="s">
        <v>753</v>
      </c>
      <c r="F1549" s="23">
        <v>1</v>
      </c>
    </row>
    <row r="1550" customHeight="1" spans="1:6">
      <c r="A1550" s="22">
        <v>46002</v>
      </c>
      <c r="B1550" s="26" t="s">
        <v>2417</v>
      </c>
      <c r="C1550" s="26">
        <v>16671476577</v>
      </c>
      <c r="E1550" s="23" t="s">
        <v>843</v>
      </c>
      <c r="F1550" s="23">
        <v>1</v>
      </c>
    </row>
    <row r="1551" customHeight="1" spans="1:6">
      <c r="A1551" s="22">
        <v>46003</v>
      </c>
      <c r="B1551" s="26" t="s">
        <v>2422</v>
      </c>
      <c r="C1551" s="26">
        <v>17797119890</v>
      </c>
      <c r="E1551" s="23" t="s">
        <v>836</v>
      </c>
      <c r="F1551" s="23">
        <v>2</v>
      </c>
    </row>
    <row r="1552" customHeight="1" spans="1:6">
      <c r="A1552" s="22">
        <v>46003</v>
      </c>
      <c r="B1552" s="26" t="s">
        <v>2423</v>
      </c>
      <c r="C1552" s="26">
        <v>13737607799</v>
      </c>
      <c r="E1552" s="23" t="s">
        <v>836</v>
      </c>
      <c r="F1552" s="23">
        <v>2</v>
      </c>
    </row>
    <row r="1553" customHeight="1" spans="1:6">
      <c r="A1553" s="22">
        <v>46004</v>
      </c>
      <c r="B1553" s="26" t="s">
        <v>2424</v>
      </c>
      <c r="C1553" s="26">
        <v>13720268822</v>
      </c>
      <c r="E1553" s="23" t="s">
        <v>836</v>
      </c>
      <c r="F1553" s="23">
        <v>2</v>
      </c>
    </row>
    <row r="1554" customHeight="1" spans="1:6">
      <c r="A1554" s="22">
        <v>46004</v>
      </c>
      <c r="B1554" s="26" t="s">
        <v>2404</v>
      </c>
      <c r="C1554" s="26">
        <v>17720266239</v>
      </c>
      <c r="E1554" s="23" t="s">
        <v>836</v>
      </c>
      <c r="F1554" s="23">
        <v>2</v>
      </c>
    </row>
    <row r="1555" customHeight="1" spans="1:6">
      <c r="A1555" s="22">
        <v>46004</v>
      </c>
      <c r="B1555" s="26" t="s">
        <v>2417</v>
      </c>
      <c r="C1555" s="26">
        <v>16671476577</v>
      </c>
      <c r="E1555" s="23" t="s">
        <v>836</v>
      </c>
      <c r="F1555" s="23">
        <v>2</v>
      </c>
    </row>
    <row r="1556" customHeight="1" spans="1:6">
      <c r="A1556" s="22">
        <v>46004</v>
      </c>
      <c r="B1556" s="26" t="s">
        <v>2425</v>
      </c>
      <c r="C1556" s="26">
        <v>15342836837</v>
      </c>
      <c r="E1556" s="23" t="s">
        <v>836</v>
      </c>
      <c r="F1556" s="23">
        <v>2</v>
      </c>
    </row>
    <row r="1557" customHeight="1" spans="1:6">
      <c r="A1557" s="22">
        <v>46004</v>
      </c>
      <c r="B1557" s="26" t="s">
        <v>1444</v>
      </c>
      <c r="C1557" s="26">
        <v>18372671501</v>
      </c>
      <c r="E1557" s="23" t="s">
        <v>836</v>
      </c>
      <c r="F1557" s="23">
        <v>2</v>
      </c>
    </row>
    <row r="1558" customHeight="1" spans="1:6">
      <c r="A1558" s="22">
        <v>46006</v>
      </c>
      <c r="B1558" s="26" t="s">
        <v>2426</v>
      </c>
      <c r="C1558" s="26">
        <v>13554014702</v>
      </c>
      <c r="E1558" s="23" t="s">
        <v>836</v>
      </c>
      <c r="F1558" s="23">
        <v>2</v>
      </c>
    </row>
    <row r="1559" customHeight="1" spans="1:6">
      <c r="A1559" s="22">
        <v>46006</v>
      </c>
      <c r="B1559" s="26" t="s">
        <v>1446</v>
      </c>
      <c r="C1559" s="26">
        <v>17754415013</v>
      </c>
      <c r="E1559" s="23" t="s">
        <v>836</v>
      </c>
      <c r="F1559" s="23">
        <v>2</v>
      </c>
    </row>
    <row r="1560" customHeight="1" spans="1:6">
      <c r="A1560" s="22">
        <v>46006</v>
      </c>
      <c r="B1560" s="26" t="s">
        <v>2427</v>
      </c>
      <c r="C1560" s="26">
        <v>18772106005</v>
      </c>
      <c r="E1560" s="23" t="s">
        <v>836</v>
      </c>
      <c r="F1560" s="23">
        <v>2</v>
      </c>
    </row>
    <row r="1561" customHeight="1" spans="1:6">
      <c r="A1561" s="22">
        <v>46008</v>
      </c>
      <c r="B1561" s="29" t="s">
        <v>2428</v>
      </c>
      <c r="C1561" s="29" t="s">
        <v>2429</v>
      </c>
      <c r="E1561" s="23" t="s">
        <v>2430</v>
      </c>
      <c r="F1561" s="23">
        <v>6</v>
      </c>
    </row>
    <row r="1562" customHeight="1" spans="1:6">
      <c r="A1562" s="22">
        <v>46008</v>
      </c>
      <c r="B1562" s="26" t="s">
        <v>2431</v>
      </c>
      <c r="C1562" s="26">
        <v>15776881573</v>
      </c>
      <c r="E1562" s="23" t="s">
        <v>836</v>
      </c>
      <c r="F1562" s="23">
        <v>2</v>
      </c>
    </row>
    <row r="1563" customHeight="1" spans="1:6">
      <c r="A1563" s="22">
        <v>46008</v>
      </c>
      <c r="B1563" s="26" t="s">
        <v>631</v>
      </c>
      <c r="C1563" s="26">
        <v>13212781002</v>
      </c>
      <c r="E1563" s="23" t="s">
        <v>836</v>
      </c>
      <c r="F1563" s="23">
        <v>2</v>
      </c>
    </row>
    <row r="1564" customHeight="1" spans="1:6">
      <c r="A1564" s="22">
        <v>46009</v>
      </c>
      <c r="B1564" s="26" t="s">
        <v>2432</v>
      </c>
      <c r="C1564" s="26">
        <v>13916946318</v>
      </c>
      <c r="E1564" s="23" t="s">
        <v>836</v>
      </c>
      <c r="F1564" s="23">
        <v>2</v>
      </c>
    </row>
    <row r="1565" customHeight="1" spans="1:6">
      <c r="A1565" s="22">
        <v>46009</v>
      </c>
      <c r="B1565" s="26" t="s">
        <v>2433</v>
      </c>
      <c r="C1565" s="26">
        <v>13481670501</v>
      </c>
      <c r="E1565" s="23" t="s">
        <v>836</v>
      </c>
      <c r="F1565" s="23">
        <v>2</v>
      </c>
    </row>
    <row r="1566" customHeight="1" spans="1:6">
      <c r="A1566" s="22">
        <v>46013</v>
      </c>
      <c r="B1566" s="26" t="s">
        <v>2434</v>
      </c>
      <c r="C1566" s="26">
        <v>15071310129</v>
      </c>
      <c r="E1566" s="23" t="s">
        <v>836</v>
      </c>
      <c r="F1566" s="23">
        <v>2</v>
      </c>
    </row>
    <row r="1567" ht="29" customHeight="1" spans="1:6">
      <c r="A1567" s="22">
        <v>46013</v>
      </c>
      <c r="B1567" s="29" t="s">
        <v>2435</v>
      </c>
      <c r="C1567" s="29" t="s">
        <v>2436</v>
      </c>
      <c r="E1567" s="23" t="s">
        <v>2437</v>
      </c>
      <c r="F1567" s="23">
        <v>4</v>
      </c>
    </row>
    <row r="1568" ht="39" customHeight="1" spans="1:6">
      <c r="A1568" s="22">
        <v>46013</v>
      </c>
      <c r="B1568" s="29" t="s">
        <v>2438</v>
      </c>
      <c r="C1568" s="29" t="s">
        <v>2439</v>
      </c>
      <c r="E1568" s="23" t="s">
        <v>2430</v>
      </c>
      <c r="F1568" s="23">
        <v>6</v>
      </c>
    </row>
    <row r="1569" customHeight="1" spans="1:6">
      <c r="A1569" s="22">
        <v>46013</v>
      </c>
      <c r="B1569" s="26" t="s">
        <v>1917</v>
      </c>
      <c r="C1569" s="26">
        <v>18313404547</v>
      </c>
      <c r="E1569" s="23" t="s">
        <v>836</v>
      </c>
      <c r="F1569" s="23">
        <v>2</v>
      </c>
    </row>
    <row r="1570" customHeight="1" spans="1:6">
      <c r="A1570" s="22">
        <v>46013</v>
      </c>
      <c r="B1570" s="26" t="s">
        <v>2440</v>
      </c>
      <c r="C1570" s="26">
        <v>15902718068</v>
      </c>
      <c r="E1570" s="23" t="s">
        <v>836</v>
      </c>
      <c r="F1570" s="23">
        <v>2</v>
      </c>
    </row>
    <row r="1571" customHeight="1" spans="1:6">
      <c r="A1571" s="22">
        <v>46014</v>
      </c>
      <c r="B1571" s="26" t="s">
        <v>2441</v>
      </c>
      <c r="C1571" s="26">
        <v>18593428931</v>
      </c>
      <c r="E1571" s="23" t="s">
        <v>836</v>
      </c>
      <c r="F1571" s="23">
        <v>2</v>
      </c>
    </row>
    <row r="1572" customHeight="1" spans="1:6">
      <c r="A1572" s="22">
        <v>46014</v>
      </c>
      <c r="B1572" s="26" t="s">
        <v>1894</v>
      </c>
      <c r="C1572" s="26">
        <v>17809552004</v>
      </c>
      <c r="E1572" s="23" t="s">
        <v>836</v>
      </c>
      <c r="F1572" s="23">
        <v>2</v>
      </c>
    </row>
    <row r="1573" customHeight="1" spans="1:6">
      <c r="A1573" s="22">
        <v>46014</v>
      </c>
      <c r="B1573" s="40" t="s">
        <v>2442</v>
      </c>
      <c r="C1573" s="40">
        <v>18648236589</v>
      </c>
      <c r="E1573" s="23" t="s">
        <v>836</v>
      </c>
      <c r="F1573" s="23">
        <v>2</v>
      </c>
    </row>
    <row r="1574" customHeight="1" spans="1:6">
      <c r="A1574" s="22">
        <v>46015</v>
      </c>
      <c r="B1574" s="26" t="s">
        <v>2443</v>
      </c>
      <c r="C1574" s="26">
        <v>17386393196</v>
      </c>
      <c r="E1574" s="23" t="s">
        <v>742</v>
      </c>
      <c r="F1574" s="23">
        <v>1</v>
      </c>
    </row>
    <row r="1575" customHeight="1" spans="1:6">
      <c r="A1575" s="36">
        <v>46015</v>
      </c>
      <c r="B1575" s="35" t="s">
        <v>2444</v>
      </c>
      <c r="C1575" s="35">
        <v>18233877371</v>
      </c>
      <c r="E1575" s="34" t="s">
        <v>836</v>
      </c>
      <c r="F1575" s="34">
        <v>2</v>
      </c>
    </row>
    <row r="1576" customHeight="1" spans="1:6">
      <c r="A1576" s="22">
        <v>46015</v>
      </c>
      <c r="B1576" s="26" t="s">
        <v>2445</v>
      </c>
      <c r="C1576" s="26">
        <v>16671255735</v>
      </c>
      <c r="D1576" s="23"/>
      <c r="E1576" s="23" t="s">
        <v>836</v>
      </c>
      <c r="F1576" s="23">
        <v>2</v>
      </c>
    </row>
    <row r="1577" customHeight="1" spans="1:6">
      <c r="A1577" s="22">
        <v>46016</v>
      </c>
      <c r="B1577" s="26" t="s">
        <v>2446</v>
      </c>
      <c r="C1577" s="26">
        <v>13871259986</v>
      </c>
      <c r="D1577" s="23"/>
      <c r="E1577" s="23" t="s">
        <v>843</v>
      </c>
      <c r="F1577" s="23">
        <v>1</v>
      </c>
    </row>
    <row r="1578" customHeight="1" spans="1:6">
      <c r="A1578" s="22">
        <v>46016</v>
      </c>
      <c r="B1578" s="26" t="s">
        <v>2447</v>
      </c>
      <c r="C1578" s="26">
        <v>17377195214</v>
      </c>
      <c r="D1578" s="23"/>
      <c r="E1578" s="23" t="s">
        <v>843</v>
      </c>
      <c r="F1578" s="23">
        <v>1</v>
      </c>
    </row>
    <row r="1579" customHeight="1" spans="1:6">
      <c r="A1579" s="22">
        <v>46016</v>
      </c>
      <c r="B1579" s="26" t="s">
        <v>2448</v>
      </c>
      <c r="C1579" s="26">
        <v>15156479581</v>
      </c>
      <c r="E1579" s="23" t="s">
        <v>836</v>
      </c>
      <c r="F1579" s="23">
        <v>2</v>
      </c>
    </row>
    <row r="1580" customHeight="1" spans="1:6">
      <c r="A1580" s="22">
        <v>46016</v>
      </c>
      <c r="B1580" s="26" t="s">
        <v>2449</v>
      </c>
      <c r="C1580" s="26">
        <v>15335741017</v>
      </c>
      <c r="E1580" s="23" t="s">
        <v>836</v>
      </c>
      <c r="F1580" s="23">
        <v>2</v>
      </c>
    </row>
    <row r="1581" customHeight="1" spans="1:6">
      <c r="A1581" s="22">
        <v>46016</v>
      </c>
      <c r="B1581" s="26" t="s">
        <v>2450</v>
      </c>
      <c r="C1581" s="26">
        <v>15936432610</v>
      </c>
      <c r="E1581" s="23" t="s">
        <v>836</v>
      </c>
      <c r="F1581" s="23">
        <v>2</v>
      </c>
    </row>
    <row r="1582" customHeight="1" spans="1:6">
      <c r="A1582" s="22">
        <v>46016</v>
      </c>
      <c r="B1582" s="26" t="s">
        <v>2451</v>
      </c>
      <c r="C1582" s="26">
        <v>17775984781</v>
      </c>
      <c r="E1582" s="23" t="s">
        <v>836</v>
      </c>
      <c r="F1582" s="23">
        <v>2</v>
      </c>
    </row>
    <row r="1583" customHeight="1" spans="1:6">
      <c r="A1583" s="22">
        <v>46017</v>
      </c>
      <c r="B1583" s="26" t="s">
        <v>2452</v>
      </c>
      <c r="C1583" s="26">
        <v>13628690044</v>
      </c>
      <c r="E1583" s="23" t="s">
        <v>836</v>
      </c>
      <c r="F1583" s="23">
        <v>2</v>
      </c>
    </row>
    <row r="1584" customHeight="1" spans="1:6">
      <c r="A1584" s="22">
        <v>46017</v>
      </c>
      <c r="B1584" s="26" t="s">
        <v>2453</v>
      </c>
      <c r="C1584" s="26">
        <v>18086466835</v>
      </c>
      <c r="E1584" s="23" t="s">
        <v>836</v>
      </c>
      <c r="F1584" s="23">
        <v>2</v>
      </c>
    </row>
    <row r="1585" customHeight="1" spans="1:6">
      <c r="A1585" s="22">
        <v>46018</v>
      </c>
      <c r="B1585" s="26" t="s">
        <v>2454</v>
      </c>
      <c r="C1585" s="26">
        <v>13163297381</v>
      </c>
      <c r="E1585" s="23" t="s">
        <v>836</v>
      </c>
      <c r="F1585" s="23">
        <v>2</v>
      </c>
    </row>
    <row r="1586" customHeight="1" spans="1:6">
      <c r="A1586" s="22">
        <v>46018</v>
      </c>
      <c r="B1586" s="26" t="s">
        <v>2455</v>
      </c>
      <c r="C1586" s="26">
        <v>18327214571</v>
      </c>
      <c r="E1586" s="23" t="s">
        <v>836</v>
      </c>
      <c r="F1586" s="23">
        <v>2</v>
      </c>
    </row>
    <row r="1587" customHeight="1" spans="1:6">
      <c r="A1587" s="22">
        <v>46018</v>
      </c>
      <c r="B1587" s="26" t="s">
        <v>2456</v>
      </c>
      <c r="C1587" s="26">
        <v>13309774221</v>
      </c>
      <c r="E1587" s="23" t="s">
        <v>836</v>
      </c>
      <c r="F1587" s="23">
        <v>2</v>
      </c>
    </row>
    <row r="1588" customHeight="1" spans="1:6">
      <c r="A1588" s="22">
        <v>46019</v>
      </c>
      <c r="B1588" s="26" t="s">
        <v>2457</v>
      </c>
      <c r="C1588" s="26">
        <v>15827578721</v>
      </c>
      <c r="E1588" s="23" t="s">
        <v>836</v>
      </c>
      <c r="F1588" s="23">
        <v>2</v>
      </c>
    </row>
    <row r="1589" customHeight="1" spans="1:6">
      <c r="A1589" s="22">
        <v>46019</v>
      </c>
      <c r="B1589" s="26" t="s">
        <v>2458</v>
      </c>
      <c r="C1589" s="26">
        <v>15332387533</v>
      </c>
      <c r="E1589" s="23" t="s">
        <v>836</v>
      </c>
      <c r="F1589" s="23">
        <v>2</v>
      </c>
    </row>
    <row r="1590" customHeight="1" spans="1:6">
      <c r="A1590" s="36">
        <v>46019</v>
      </c>
      <c r="B1590" s="35" t="s">
        <v>2459</v>
      </c>
      <c r="C1590" s="35">
        <v>18174283719</v>
      </c>
      <c r="E1590" s="34" t="s">
        <v>836</v>
      </c>
      <c r="F1590" s="34">
        <v>2</v>
      </c>
    </row>
    <row r="1591" customHeight="1" spans="1:6">
      <c r="A1591" s="22">
        <v>46019</v>
      </c>
      <c r="B1591" s="23" t="s">
        <v>1092</v>
      </c>
      <c r="C1591" s="23">
        <v>13870538962</v>
      </c>
      <c r="D1591" s="23"/>
      <c r="E1591" s="23" t="s">
        <v>800</v>
      </c>
      <c r="F1591" s="23">
        <v>1</v>
      </c>
    </row>
    <row r="1592" customHeight="1" spans="1:6">
      <c r="A1592" s="22">
        <v>46026</v>
      </c>
      <c r="B1592" s="26" t="s">
        <v>2460</v>
      </c>
      <c r="C1592" s="26">
        <v>18962603312</v>
      </c>
      <c r="D1592" s="23"/>
      <c r="E1592" s="34" t="s">
        <v>836</v>
      </c>
      <c r="F1592" s="23">
        <v>2</v>
      </c>
    </row>
    <row r="1593" customHeight="1" spans="1:6">
      <c r="A1593" s="22">
        <v>46028</v>
      </c>
      <c r="B1593" s="26" t="s">
        <v>2461</v>
      </c>
      <c r="C1593" s="26">
        <v>18672447894</v>
      </c>
      <c r="D1593" s="23"/>
      <c r="E1593" s="34" t="s">
        <v>836</v>
      </c>
      <c r="F1593" s="23">
        <v>2</v>
      </c>
    </row>
    <row r="1594" customHeight="1" spans="1:6">
      <c r="A1594" s="22">
        <v>46035</v>
      </c>
      <c r="B1594" s="23" t="s">
        <v>2462</v>
      </c>
      <c r="C1594" s="23">
        <v>18971402081</v>
      </c>
      <c r="D1594" s="23"/>
      <c r="E1594" s="34" t="s">
        <v>836</v>
      </c>
      <c r="F1594" s="23">
        <v>2</v>
      </c>
    </row>
    <row r="1595" customHeight="1" spans="1:6">
      <c r="A1595" s="22">
        <v>46045</v>
      </c>
      <c r="B1595" s="26" t="s">
        <v>2463</v>
      </c>
      <c r="C1595" s="26">
        <v>13720240167</v>
      </c>
      <c r="D1595" s="23"/>
      <c r="E1595" s="34" t="s">
        <v>836</v>
      </c>
      <c r="F1595" s="23">
        <v>2</v>
      </c>
    </row>
    <row r="1596" customHeight="1" spans="1:6">
      <c r="A1596" s="22"/>
      <c r="B1596" s="23"/>
      <c r="C1596" s="41"/>
      <c r="D1596" s="23"/>
      <c r="E1596" s="23"/>
      <c r="F1596" s="23"/>
    </row>
    <row r="1597" customHeight="1" spans="1:6">
      <c r="A1597" s="23"/>
      <c r="B1597" s="23"/>
      <c r="C1597" s="23"/>
      <c r="D1597" s="23"/>
      <c r="E1597" s="23"/>
      <c r="F1597" s="23"/>
    </row>
    <row r="1598" customHeight="1" spans="1:6">
      <c r="A1598" s="23"/>
      <c r="B1598" s="23"/>
      <c r="C1598" s="23"/>
      <c r="D1598" s="23"/>
      <c r="E1598" s="23"/>
      <c r="F1598" s="23"/>
    </row>
    <row r="1599" customHeight="1" spans="1:6">
      <c r="A1599" s="23"/>
      <c r="B1599" s="23"/>
      <c r="C1599" s="23"/>
      <c r="D1599" s="23"/>
      <c r="E1599" s="23"/>
      <c r="F1599" s="23"/>
    </row>
    <row r="1600" customHeight="1" spans="1:6">
      <c r="A1600" s="23"/>
      <c r="B1600" s="23"/>
      <c r="C1600" s="23"/>
      <c r="D1600" s="23"/>
      <c r="E1600" s="23"/>
      <c r="F1600" s="23"/>
    </row>
    <row r="1601" customHeight="1" spans="1:6">
      <c r="A1601" s="23"/>
      <c r="B1601" s="23"/>
      <c r="C1601" s="23"/>
      <c r="D1601" s="23"/>
      <c r="E1601" s="23"/>
      <c r="F1601" s="23"/>
    </row>
    <row r="1602" customHeight="1" spans="1:6">
      <c r="A1602" s="23"/>
      <c r="B1602" s="23"/>
      <c r="C1602" s="23"/>
      <c r="D1602" s="23"/>
      <c r="E1602" s="23"/>
      <c r="F1602" s="23"/>
    </row>
    <row r="1603" customHeight="1" spans="1:6">
      <c r="A1603" s="23"/>
      <c r="B1603" s="23"/>
      <c r="C1603" s="23"/>
      <c r="D1603" s="23"/>
      <c r="E1603" s="23"/>
      <c r="F1603" s="23"/>
    </row>
  </sheetData>
  <autoFilter xmlns:etc="http://www.wps.cn/officeDocument/2017/etCustomData" ref="A1:F1595" etc:filterBottomFollowUsedRange="0">
    <extLst/>
  </autoFilter>
  <mergeCells count="1">
    <mergeCell ref="A1:F1"/>
  </mergeCells>
  <dataValidations count="1">
    <dataValidation type="list" allowBlank="1" showInputMessage="1" showErrorMessage="1" sqref="D946 D782:D816">
      <formula1>"月卡,季卡,半年卡,年卡,双年卡,三年卡,亲子卡,家庭卡,学期卡,学年卡,双学年卡,三学年卡,游泳培训1V1,游泳培训1V2,游泳培训1V3,游泳培训班,次卡,常规课,特色课,长训班,包月课,定金,周卡,体验课,转卡费"</formula1>
    </dataValidation>
  </dataValidations>
  <pageMargins left="0.75" right="0.75" top="1" bottom="1" header="0.5" footer="0.5"/>
  <pageSetup paperSize="9" orientation="portrait"/>
  <headerFooter/>
  <ignoredErrors>
    <ignoredError sqref="C1038 C103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94"/>
  <sheetViews>
    <sheetView zoomScale="85" zoomScaleNormal="85" workbookViewId="0">
      <pane ySplit="3" topLeftCell="A11" activePane="bottomLeft" state="frozen"/>
      <selection/>
      <selection pane="bottomLeft" activeCell="K53" sqref="K53"/>
    </sheetView>
  </sheetViews>
  <sheetFormatPr defaultColWidth="9" defaultRowHeight="16.8" customHeight="1" zeroHeight="1"/>
  <cols>
    <col min="1" max="1" width="9" style="2"/>
    <col min="2" max="2" width="28.125" style="2" customWidth="1"/>
    <col min="3" max="4" width="12.625" style="2" customWidth="1"/>
    <col min="5" max="10" width="15.625" style="2" customWidth="1"/>
    <col min="11" max="16384" width="9" style="2" hidden="1" customWidth="1"/>
  </cols>
  <sheetData>
    <row r="1" ht="30" customHeight="1" spans="1:10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5" customHeight="1" spans="1:10">
      <c r="A2" s="4" t="s">
        <v>2464</v>
      </c>
      <c r="B2" s="5" t="s">
        <v>2465</v>
      </c>
      <c r="C2" s="5" t="s">
        <v>2466</v>
      </c>
      <c r="D2" s="5" t="s">
        <v>2467</v>
      </c>
      <c r="E2" s="6" t="s">
        <v>2468</v>
      </c>
      <c r="F2" s="6" t="s">
        <v>2469</v>
      </c>
      <c r="G2" s="6" t="s">
        <v>2470</v>
      </c>
      <c r="H2" s="6" t="s">
        <v>2469</v>
      </c>
      <c r="I2" s="6" t="s">
        <v>2469</v>
      </c>
      <c r="J2" s="6" t="s">
        <v>2469</v>
      </c>
    </row>
    <row r="3" s="1" customFormat="1" ht="25" customHeight="1" spans="1:10">
      <c r="A3" s="4"/>
      <c r="B3" s="5"/>
      <c r="C3" s="5"/>
      <c r="D3" s="5"/>
      <c r="E3" s="5" t="s">
        <v>2471</v>
      </c>
      <c r="F3" s="5" t="s">
        <v>2471</v>
      </c>
      <c r="G3" s="5" t="s">
        <v>2471</v>
      </c>
      <c r="H3" s="5" t="s">
        <v>2471</v>
      </c>
      <c r="I3" s="5" t="s">
        <v>2471</v>
      </c>
      <c r="J3" s="5" t="s">
        <v>2471</v>
      </c>
    </row>
    <row r="4" customFormat="1" ht="20" customHeight="1" spans="1:10">
      <c r="A4" s="7" t="s">
        <v>2472</v>
      </c>
      <c r="B4" s="8" t="s">
        <v>2473</v>
      </c>
      <c r="C4" s="8" t="s">
        <v>2474</v>
      </c>
      <c r="D4" s="8">
        <v>12</v>
      </c>
      <c r="E4" s="8">
        <v>12</v>
      </c>
      <c r="F4" s="8">
        <v>12</v>
      </c>
      <c r="G4" s="8">
        <v>12</v>
      </c>
      <c r="H4" s="9"/>
      <c r="I4" s="9"/>
      <c r="J4" s="9"/>
    </row>
    <row r="5" customFormat="1" ht="20" customHeight="1" spans="1:10">
      <c r="A5" s="10"/>
      <c r="B5" s="8" t="s">
        <v>2475</v>
      </c>
      <c r="C5" s="8" t="s">
        <v>2474</v>
      </c>
      <c r="D5" s="8">
        <v>10</v>
      </c>
      <c r="E5" s="8">
        <v>10</v>
      </c>
      <c r="F5" s="8">
        <v>10</v>
      </c>
      <c r="G5" s="8">
        <v>10</v>
      </c>
      <c r="H5" s="9"/>
      <c r="I5" s="9"/>
      <c r="J5" s="9"/>
    </row>
    <row r="6" customFormat="1" ht="20" customHeight="1" spans="1:10">
      <c r="A6" s="10"/>
      <c r="B6" s="8" t="s">
        <v>2476</v>
      </c>
      <c r="C6" s="8" t="s">
        <v>2474</v>
      </c>
      <c r="D6" s="8">
        <v>16</v>
      </c>
      <c r="E6" s="8">
        <v>16</v>
      </c>
      <c r="F6" s="8">
        <v>16</v>
      </c>
      <c r="G6" s="8">
        <v>16</v>
      </c>
      <c r="H6" s="9"/>
      <c r="I6" s="9"/>
      <c r="J6" s="9"/>
    </row>
    <row r="7" customFormat="1" ht="20" customHeight="1" spans="1:10">
      <c r="A7" s="10"/>
      <c r="B7" s="8" t="s">
        <v>2477</v>
      </c>
      <c r="C7" s="8" t="s">
        <v>2474</v>
      </c>
      <c r="D7" s="8">
        <v>16</v>
      </c>
      <c r="E7" s="8">
        <v>16</v>
      </c>
      <c r="F7" s="8">
        <v>16</v>
      </c>
      <c r="G7" s="8">
        <v>16</v>
      </c>
      <c r="H7" s="9"/>
      <c r="I7" s="9"/>
      <c r="J7" s="9"/>
    </row>
    <row r="8" customFormat="1" ht="20" customHeight="1" spans="1:10">
      <c r="A8" s="10"/>
      <c r="B8" s="8" t="s">
        <v>2478</v>
      </c>
      <c r="C8" s="8" t="s">
        <v>2474</v>
      </c>
      <c r="D8" s="8">
        <v>16</v>
      </c>
      <c r="E8" s="8">
        <v>16</v>
      </c>
      <c r="F8" s="8">
        <v>16</v>
      </c>
      <c r="G8" s="8">
        <v>16</v>
      </c>
      <c r="H8" s="9"/>
      <c r="I8" s="9"/>
      <c r="J8" s="9"/>
    </row>
    <row r="9" customFormat="1" ht="20" customHeight="1" spans="1:10">
      <c r="A9" s="10"/>
      <c r="B9" s="8" t="s">
        <v>2479</v>
      </c>
      <c r="C9" s="8" t="s">
        <v>2474</v>
      </c>
      <c r="D9" s="8">
        <v>1</v>
      </c>
      <c r="E9" s="8">
        <v>1</v>
      </c>
      <c r="F9" s="8">
        <v>1</v>
      </c>
      <c r="G9" s="8">
        <v>1</v>
      </c>
      <c r="H9" s="9"/>
      <c r="I9" s="9"/>
      <c r="J9" s="9"/>
    </row>
    <row r="10" customFormat="1" ht="20" customHeight="1" spans="1:10">
      <c r="A10" s="10"/>
      <c r="B10" s="8" t="s">
        <v>2480</v>
      </c>
      <c r="C10" s="8" t="s">
        <v>2474</v>
      </c>
      <c r="D10" s="8">
        <v>34</v>
      </c>
      <c r="E10" s="8">
        <v>34</v>
      </c>
      <c r="F10" s="8">
        <v>34</v>
      </c>
      <c r="G10" s="8">
        <v>34</v>
      </c>
      <c r="H10" s="9"/>
      <c r="I10" s="9"/>
      <c r="J10" s="9"/>
    </row>
    <row r="11" customFormat="1" ht="20" customHeight="1" spans="1:10">
      <c r="A11" s="10"/>
      <c r="B11" s="8" t="s">
        <v>2481</v>
      </c>
      <c r="C11" s="8" t="s">
        <v>2474</v>
      </c>
      <c r="D11" s="8">
        <v>19</v>
      </c>
      <c r="E11" s="8">
        <v>19</v>
      </c>
      <c r="F11" s="8">
        <v>19</v>
      </c>
      <c r="G11" s="8">
        <v>19</v>
      </c>
      <c r="H11" s="9"/>
      <c r="I11" s="9"/>
      <c r="J11" s="9"/>
    </row>
    <row r="12" customFormat="1" ht="20" customHeight="1" spans="1:10">
      <c r="A12" s="10"/>
      <c r="B12" s="8" t="s">
        <v>2482</v>
      </c>
      <c r="C12" s="8" t="s">
        <v>2474</v>
      </c>
      <c r="D12" s="8">
        <v>78</v>
      </c>
      <c r="E12" s="8">
        <v>78</v>
      </c>
      <c r="F12" s="8">
        <v>78</v>
      </c>
      <c r="G12" s="8">
        <v>78</v>
      </c>
      <c r="H12" s="9"/>
      <c r="I12" s="9"/>
      <c r="J12" s="9"/>
    </row>
    <row r="13" ht="20" customHeight="1" spans="1:10">
      <c r="A13" s="10"/>
      <c r="B13" s="8" t="s">
        <v>835</v>
      </c>
      <c r="C13" s="8" t="s">
        <v>2474</v>
      </c>
      <c r="D13" s="8">
        <v>15</v>
      </c>
      <c r="E13" s="8">
        <v>15</v>
      </c>
      <c r="F13" s="8">
        <v>15</v>
      </c>
      <c r="G13" s="8">
        <v>15</v>
      </c>
      <c r="H13" s="9"/>
      <c r="I13" s="9"/>
      <c r="J13" s="9"/>
    </row>
    <row r="14" ht="20" customHeight="1" spans="1:10">
      <c r="A14" s="10"/>
      <c r="B14" s="8" t="s">
        <v>2483</v>
      </c>
      <c r="C14" s="8" t="s">
        <v>2474</v>
      </c>
      <c r="D14" s="8">
        <v>8</v>
      </c>
      <c r="E14" s="8">
        <v>8</v>
      </c>
      <c r="F14" s="8">
        <v>8</v>
      </c>
      <c r="G14" s="8">
        <v>8</v>
      </c>
      <c r="H14" s="9"/>
      <c r="I14" s="9"/>
      <c r="J14" s="9"/>
    </row>
    <row r="15" ht="20" customHeight="1" spans="1:10">
      <c r="A15" s="10"/>
      <c r="B15" s="8" t="s">
        <v>2484</v>
      </c>
      <c r="C15" s="8" t="s">
        <v>2474</v>
      </c>
      <c r="D15" s="8">
        <v>3</v>
      </c>
      <c r="E15" s="8">
        <v>3</v>
      </c>
      <c r="F15" s="8">
        <v>3</v>
      </c>
      <c r="G15" s="8">
        <v>3</v>
      </c>
      <c r="H15" s="9"/>
      <c r="I15" s="9"/>
      <c r="J15" s="9"/>
    </row>
    <row r="16" ht="20" customHeight="1" spans="1:10">
      <c r="A16" s="10"/>
      <c r="B16" s="8" t="s">
        <v>2485</v>
      </c>
      <c r="C16" s="8" t="s">
        <v>2474</v>
      </c>
      <c r="D16" s="8">
        <v>6</v>
      </c>
      <c r="E16" s="8">
        <v>6</v>
      </c>
      <c r="F16" s="8">
        <v>6</v>
      </c>
      <c r="G16" s="8">
        <v>6</v>
      </c>
      <c r="H16" s="9"/>
      <c r="I16" s="9"/>
      <c r="J16" s="9"/>
    </row>
    <row r="17" ht="20" customHeight="1" spans="1:10">
      <c r="A17" s="10"/>
      <c r="B17" s="8" t="s">
        <v>2486</v>
      </c>
      <c r="C17" s="8" t="s">
        <v>2474</v>
      </c>
      <c r="D17" s="8">
        <v>4</v>
      </c>
      <c r="E17" s="8">
        <v>4</v>
      </c>
      <c r="F17" s="8">
        <v>4</v>
      </c>
      <c r="G17" s="8">
        <v>4</v>
      </c>
      <c r="H17" s="9"/>
      <c r="I17" s="9"/>
      <c r="J17" s="9"/>
    </row>
    <row r="18" ht="20" customHeight="1" spans="1:10">
      <c r="A18" s="10"/>
      <c r="B18" s="8" t="s">
        <v>2487</v>
      </c>
      <c r="C18" s="8" t="s">
        <v>2474</v>
      </c>
      <c r="D18" s="8">
        <v>1</v>
      </c>
      <c r="E18" s="8">
        <v>1</v>
      </c>
      <c r="F18" s="8">
        <v>1</v>
      </c>
      <c r="G18" s="8">
        <v>1</v>
      </c>
      <c r="H18" s="9"/>
      <c r="I18" s="9"/>
      <c r="J18" s="9"/>
    </row>
    <row r="19" ht="20" customHeight="1" spans="1:10">
      <c r="A19" s="10"/>
      <c r="B19" s="8" t="s">
        <v>2488</v>
      </c>
      <c r="C19" s="8" t="s">
        <v>2474</v>
      </c>
      <c r="D19" s="8">
        <v>2</v>
      </c>
      <c r="E19" s="8">
        <v>2</v>
      </c>
      <c r="F19" s="8">
        <v>2</v>
      </c>
      <c r="G19" s="8">
        <v>2</v>
      </c>
      <c r="H19" s="9"/>
      <c r="I19" s="9"/>
      <c r="J19" s="9"/>
    </row>
    <row r="20" ht="20" customHeight="1" spans="1:10">
      <c r="A20" s="10"/>
      <c r="B20" s="8" t="s">
        <v>2489</v>
      </c>
      <c r="C20" s="8" t="s">
        <v>2474</v>
      </c>
      <c r="D20" s="8">
        <v>34</v>
      </c>
      <c r="E20" s="8">
        <v>34</v>
      </c>
      <c r="F20" s="8">
        <v>34</v>
      </c>
      <c r="G20" s="8">
        <v>34</v>
      </c>
      <c r="H20" s="9"/>
      <c r="I20" s="9"/>
      <c r="J20" s="9"/>
    </row>
    <row r="21" ht="20" customHeight="1" spans="1:10">
      <c r="A21" s="10"/>
      <c r="B21" s="8" t="s">
        <v>2490</v>
      </c>
      <c r="C21" s="8" t="s">
        <v>2491</v>
      </c>
      <c r="D21" s="11">
        <v>22</v>
      </c>
      <c r="E21" s="11">
        <v>22</v>
      </c>
      <c r="F21" s="11">
        <v>22</v>
      </c>
      <c r="G21" s="11">
        <v>22</v>
      </c>
      <c r="H21" s="9"/>
      <c r="I21" s="9"/>
      <c r="J21" s="9"/>
    </row>
    <row r="22" ht="20" customHeight="1" spans="1:10">
      <c r="A22" s="12" t="s">
        <v>2492</v>
      </c>
      <c r="B22" s="8" t="s">
        <v>2493</v>
      </c>
      <c r="C22" s="8" t="s">
        <v>2474</v>
      </c>
      <c r="D22" s="8">
        <v>20</v>
      </c>
      <c r="E22" s="8">
        <v>20</v>
      </c>
      <c r="F22" s="8">
        <v>20</v>
      </c>
      <c r="G22" s="8">
        <v>20</v>
      </c>
      <c r="H22" s="9"/>
      <c r="I22" s="9"/>
      <c r="J22" s="9"/>
    </row>
    <row r="23" ht="20" customHeight="1" spans="1:10">
      <c r="A23" s="13"/>
      <c r="B23" s="8" t="s">
        <v>2494</v>
      </c>
      <c r="C23" s="8" t="s">
        <v>2474</v>
      </c>
      <c r="D23" s="8">
        <v>6</v>
      </c>
      <c r="E23" s="8">
        <v>6</v>
      </c>
      <c r="F23" s="8">
        <v>6</v>
      </c>
      <c r="G23" s="8">
        <v>6</v>
      </c>
      <c r="H23" s="9"/>
      <c r="I23" s="9"/>
      <c r="J23" s="9"/>
    </row>
    <row r="24" ht="20" customHeight="1" spans="1:10">
      <c r="A24" s="13"/>
      <c r="B24" s="8" t="s">
        <v>2495</v>
      </c>
      <c r="C24" s="8" t="s">
        <v>2474</v>
      </c>
      <c r="D24" s="8">
        <v>1</v>
      </c>
      <c r="E24" s="8">
        <v>1</v>
      </c>
      <c r="F24" s="8">
        <v>1</v>
      </c>
      <c r="G24" s="8">
        <v>1</v>
      </c>
      <c r="H24" s="9"/>
      <c r="I24" s="9"/>
      <c r="J24" s="9"/>
    </row>
    <row r="25" ht="20" customHeight="1" spans="1:10">
      <c r="A25" s="13"/>
      <c r="B25" s="8" t="s">
        <v>2496</v>
      </c>
      <c r="C25" s="8" t="s">
        <v>2474</v>
      </c>
      <c r="D25" s="8">
        <v>2</v>
      </c>
      <c r="E25" s="8">
        <v>2</v>
      </c>
      <c r="F25" s="8">
        <v>2</v>
      </c>
      <c r="G25" s="8">
        <v>2</v>
      </c>
      <c r="H25" s="9"/>
      <c r="I25" s="9"/>
      <c r="J25" s="9"/>
    </row>
    <row r="26" ht="20" customHeight="1" spans="1:10">
      <c r="A26" s="13"/>
      <c r="B26" s="8" t="s">
        <v>2497</v>
      </c>
      <c r="C26" s="8" t="s">
        <v>2474</v>
      </c>
      <c r="D26" s="8">
        <v>2</v>
      </c>
      <c r="E26" s="8">
        <v>2</v>
      </c>
      <c r="F26" s="8">
        <v>2</v>
      </c>
      <c r="G26" s="8">
        <v>2</v>
      </c>
      <c r="H26" s="9"/>
      <c r="I26" s="9"/>
      <c r="J26" s="9"/>
    </row>
    <row r="27" ht="20" customHeight="1" spans="1:10">
      <c r="A27" s="13"/>
      <c r="B27" s="8" t="s">
        <v>2498</v>
      </c>
      <c r="C27" s="8" t="s">
        <v>2474</v>
      </c>
      <c r="D27" s="8">
        <v>1</v>
      </c>
      <c r="E27" s="8">
        <v>1</v>
      </c>
      <c r="F27" s="8">
        <v>1</v>
      </c>
      <c r="G27" s="8">
        <v>1</v>
      </c>
      <c r="H27" s="9"/>
      <c r="I27" s="9"/>
      <c r="J27" s="9"/>
    </row>
    <row r="28" ht="20" customHeight="1" spans="1:10">
      <c r="A28" s="13"/>
      <c r="B28" s="8" t="s">
        <v>2499</v>
      </c>
      <c r="C28" s="8" t="s">
        <v>2474</v>
      </c>
      <c r="D28" s="8">
        <v>1</v>
      </c>
      <c r="E28" s="8">
        <v>1</v>
      </c>
      <c r="F28" s="8">
        <v>1</v>
      </c>
      <c r="G28" s="8">
        <v>1</v>
      </c>
      <c r="H28" s="9"/>
      <c r="I28" s="9"/>
      <c r="J28" s="9"/>
    </row>
    <row r="29" ht="20" customHeight="1" spans="1:10">
      <c r="A29" s="13"/>
      <c r="B29" s="8" t="s">
        <v>2500</v>
      </c>
      <c r="C29" s="8" t="s">
        <v>2474</v>
      </c>
      <c r="D29" s="8">
        <v>1</v>
      </c>
      <c r="E29" s="8">
        <v>1</v>
      </c>
      <c r="F29" s="8">
        <v>1</v>
      </c>
      <c r="G29" s="8">
        <v>1</v>
      </c>
      <c r="H29" s="9"/>
      <c r="I29" s="9"/>
      <c r="J29" s="9"/>
    </row>
    <row r="30" ht="20" customHeight="1" spans="1:10">
      <c r="A30" s="13"/>
      <c r="B30" s="8" t="s">
        <v>2501</v>
      </c>
      <c r="C30" s="8" t="s">
        <v>2474</v>
      </c>
      <c r="D30" s="8">
        <v>4</v>
      </c>
      <c r="E30" s="8">
        <v>4</v>
      </c>
      <c r="F30" s="8">
        <v>4</v>
      </c>
      <c r="G30" s="8">
        <v>4</v>
      </c>
      <c r="H30" s="9"/>
      <c r="I30" s="9"/>
      <c r="J30" s="9"/>
    </row>
    <row r="31" ht="20" customHeight="1" spans="1:10">
      <c r="A31" s="13"/>
      <c r="B31" s="8" t="s">
        <v>2502</v>
      </c>
      <c r="C31" s="8" t="s">
        <v>2474</v>
      </c>
      <c r="D31" s="8">
        <v>3</v>
      </c>
      <c r="E31" s="8">
        <v>3</v>
      </c>
      <c r="F31" s="8">
        <v>3</v>
      </c>
      <c r="G31" s="8">
        <v>3</v>
      </c>
      <c r="H31" s="9"/>
      <c r="I31" s="9"/>
      <c r="J31" s="9"/>
    </row>
    <row r="32" ht="20" customHeight="1" spans="1:10">
      <c r="A32" s="13"/>
      <c r="B32" s="8" t="s">
        <v>2503</v>
      </c>
      <c r="C32" s="8" t="s">
        <v>2474</v>
      </c>
      <c r="D32" s="8">
        <v>1</v>
      </c>
      <c r="E32" s="8">
        <v>1</v>
      </c>
      <c r="F32" s="8">
        <v>1</v>
      </c>
      <c r="G32" s="8">
        <v>1</v>
      </c>
      <c r="H32" s="9"/>
      <c r="I32" s="9"/>
      <c r="J32" s="9"/>
    </row>
    <row r="33" ht="20" customHeight="1" spans="1:10">
      <c r="A33" s="13"/>
      <c r="B33" s="8" t="s">
        <v>2504</v>
      </c>
      <c r="C33" s="8" t="s">
        <v>2474</v>
      </c>
      <c r="D33" s="8">
        <v>1</v>
      </c>
      <c r="E33" s="8">
        <v>1</v>
      </c>
      <c r="F33" s="8">
        <v>1</v>
      </c>
      <c r="G33" s="8">
        <v>1</v>
      </c>
      <c r="H33" s="9"/>
      <c r="I33" s="9"/>
      <c r="J33" s="9"/>
    </row>
    <row r="34" ht="20" customHeight="1" spans="1:10">
      <c r="A34" s="13"/>
      <c r="B34" s="8" t="s">
        <v>2505</v>
      </c>
      <c r="C34" s="8" t="s">
        <v>2474</v>
      </c>
      <c r="D34" s="8">
        <v>1</v>
      </c>
      <c r="E34" s="8">
        <v>1</v>
      </c>
      <c r="F34" s="8">
        <v>1</v>
      </c>
      <c r="G34" s="8">
        <v>1</v>
      </c>
      <c r="H34" s="9"/>
      <c r="I34" s="9"/>
      <c r="J34" s="9"/>
    </row>
    <row r="35" ht="20" customHeight="1" spans="1:10">
      <c r="A35" s="13"/>
      <c r="B35" s="8" t="s">
        <v>2506</v>
      </c>
      <c r="C35" s="8" t="s">
        <v>2474</v>
      </c>
      <c r="D35" s="8">
        <v>3</v>
      </c>
      <c r="E35" s="8">
        <v>3</v>
      </c>
      <c r="F35" s="8">
        <v>3</v>
      </c>
      <c r="G35" s="8">
        <v>3</v>
      </c>
      <c r="H35" s="9"/>
      <c r="I35" s="9"/>
      <c r="J35" s="9"/>
    </row>
    <row r="36" ht="20" customHeight="1" spans="1:10">
      <c r="A36" s="13"/>
      <c r="B36" s="8" t="s">
        <v>2507</v>
      </c>
      <c r="C36" s="8" t="s">
        <v>2474</v>
      </c>
      <c r="D36" s="8">
        <v>2</v>
      </c>
      <c r="E36" s="8">
        <v>2</v>
      </c>
      <c r="F36" s="8">
        <v>2</v>
      </c>
      <c r="G36" s="8">
        <v>2</v>
      </c>
      <c r="H36" s="9"/>
      <c r="I36" s="9"/>
      <c r="J36" s="9"/>
    </row>
    <row r="37" ht="20" customHeight="1" spans="1:10">
      <c r="A37" s="13"/>
      <c r="B37" s="8" t="s">
        <v>2508</v>
      </c>
      <c r="C37" s="8" t="s">
        <v>2474</v>
      </c>
      <c r="D37" s="8">
        <v>2</v>
      </c>
      <c r="E37" s="8">
        <v>2</v>
      </c>
      <c r="F37" s="8">
        <v>2</v>
      </c>
      <c r="G37" s="8">
        <v>2</v>
      </c>
      <c r="H37" s="9"/>
      <c r="I37" s="9"/>
      <c r="J37" s="9"/>
    </row>
    <row r="38" ht="20" customHeight="1" spans="1:10">
      <c r="A38" s="13"/>
      <c r="B38" s="8" t="s">
        <v>2509</v>
      </c>
      <c r="C38" s="8" t="s">
        <v>2474</v>
      </c>
      <c r="D38" s="8">
        <v>1</v>
      </c>
      <c r="E38" s="8">
        <v>1</v>
      </c>
      <c r="F38" s="8">
        <v>1</v>
      </c>
      <c r="G38" s="8">
        <v>1</v>
      </c>
      <c r="H38" s="9"/>
      <c r="I38" s="9"/>
      <c r="J38" s="9"/>
    </row>
    <row r="39" ht="20" customHeight="1" spans="1:10">
      <c r="A39" s="13"/>
      <c r="B39" s="8" t="s">
        <v>2510</v>
      </c>
      <c r="C39" s="8" t="s">
        <v>2474</v>
      </c>
      <c r="D39" s="8">
        <v>1</v>
      </c>
      <c r="E39" s="8">
        <v>1</v>
      </c>
      <c r="F39" s="8">
        <v>1</v>
      </c>
      <c r="G39" s="8">
        <v>1</v>
      </c>
      <c r="H39" s="9"/>
      <c r="I39" s="9"/>
      <c r="J39" s="9"/>
    </row>
    <row r="40" ht="20" customHeight="1" spans="1:10">
      <c r="A40" s="13"/>
      <c r="B40" s="8" t="s">
        <v>2511</v>
      </c>
      <c r="C40" s="8" t="s">
        <v>2474</v>
      </c>
      <c r="D40" s="8">
        <v>2</v>
      </c>
      <c r="E40" s="8">
        <v>2</v>
      </c>
      <c r="F40" s="8">
        <v>2</v>
      </c>
      <c r="G40" s="8">
        <v>2</v>
      </c>
      <c r="H40" s="9"/>
      <c r="I40" s="9"/>
      <c r="J40" s="9"/>
    </row>
    <row r="41" ht="20" customHeight="1" spans="1:10">
      <c r="A41" s="13"/>
      <c r="B41" s="8" t="s">
        <v>2512</v>
      </c>
      <c r="C41" s="8" t="s">
        <v>2474</v>
      </c>
      <c r="D41" s="8">
        <v>2</v>
      </c>
      <c r="E41" s="8">
        <v>2</v>
      </c>
      <c r="F41" s="8">
        <v>2</v>
      </c>
      <c r="G41" s="8">
        <v>2</v>
      </c>
      <c r="H41" s="9"/>
      <c r="I41" s="9"/>
      <c r="J41" s="9"/>
    </row>
    <row r="42" ht="20" customHeight="1" spans="1:10">
      <c r="A42" s="13"/>
      <c r="B42" s="8" t="s">
        <v>2513</v>
      </c>
      <c r="C42" s="8" t="s">
        <v>2474</v>
      </c>
      <c r="D42" s="8">
        <v>2</v>
      </c>
      <c r="E42" s="8">
        <v>2</v>
      </c>
      <c r="F42" s="8">
        <v>2</v>
      </c>
      <c r="G42" s="8">
        <v>2</v>
      </c>
      <c r="H42" s="9"/>
      <c r="I42" s="9"/>
      <c r="J42" s="9"/>
    </row>
    <row r="43" ht="20" customHeight="1" spans="1:10">
      <c r="A43" s="13"/>
      <c r="B43" s="8" t="s">
        <v>2514</v>
      </c>
      <c r="C43" s="8" t="s">
        <v>2474</v>
      </c>
      <c r="D43" s="8">
        <v>3</v>
      </c>
      <c r="E43" s="8">
        <v>3</v>
      </c>
      <c r="F43" s="8">
        <v>3</v>
      </c>
      <c r="G43" s="8">
        <v>3</v>
      </c>
      <c r="H43" s="9"/>
      <c r="I43" s="9"/>
      <c r="J43" s="9"/>
    </row>
    <row r="44" ht="20" customHeight="1" spans="1:10">
      <c r="A44" s="13"/>
      <c r="B44" s="8" t="s">
        <v>2515</v>
      </c>
      <c r="C44" s="8" t="s">
        <v>2474</v>
      </c>
      <c r="D44" s="8">
        <v>13</v>
      </c>
      <c r="E44" s="8">
        <v>13</v>
      </c>
      <c r="F44" s="8">
        <v>13</v>
      </c>
      <c r="G44" s="8">
        <v>13</v>
      </c>
      <c r="H44" s="9"/>
      <c r="I44" s="9"/>
      <c r="J44" s="9"/>
    </row>
    <row r="45" ht="20" customHeight="1" spans="1:10">
      <c r="A45" s="13"/>
      <c r="B45" s="8" t="s">
        <v>2516</v>
      </c>
      <c r="C45" s="8" t="s">
        <v>2474</v>
      </c>
      <c r="D45" s="8">
        <v>2</v>
      </c>
      <c r="E45" s="8">
        <v>2</v>
      </c>
      <c r="F45" s="8">
        <v>2</v>
      </c>
      <c r="G45" s="8">
        <v>2</v>
      </c>
      <c r="H45" s="9"/>
      <c r="I45" s="9"/>
      <c r="J45" s="9"/>
    </row>
    <row r="46" ht="20" customHeight="1" spans="1:10">
      <c r="A46" s="13"/>
      <c r="B46" s="8" t="s">
        <v>2517</v>
      </c>
      <c r="C46" s="8" t="s">
        <v>2474</v>
      </c>
      <c r="D46" s="8">
        <v>2</v>
      </c>
      <c r="E46" s="8">
        <v>2</v>
      </c>
      <c r="F46" s="8">
        <v>2</v>
      </c>
      <c r="G46" s="8">
        <v>2</v>
      </c>
      <c r="H46" s="9"/>
      <c r="I46" s="9"/>
      <c r="J46" s="9"/>
    </row>
    <row r="47" ht="20" customHeight="1" spans="1:10">
      <c r="A47" s="13"/>
      <c r="B47" s="8" t="s">
        <v>2479</v>
      </c>
      <c r="C47" s="8" t="s">
        <v>2474</v>
      </c>
      <c r="D47" s="8">
        <v>1</v>
      </c>
      <c r="E47" s="8">
        <v>1</v>
      </c>
      <c r="F47" s="8">
        <v>1</v>
      </c>
      <c r="G47" s="8">
        <v>1</v>
      </c>
      <c r="H47" s="9"/>
      <c r="I47" s="9"/>
      <c r="J47" s="9"/>
    </row>
    <row r="48" ht="20" customHeight="1" spans="1:10">
      <c r="A48" s="13"/>
      <c r="B48" s="8" t="s">
        <v>2518</v>
      </c>
      <c r="C48" s="8" t="s">
        <v>2474</v>
      </c>
      <c r="D48" s="8">
        <v>1</v>
      </c>
      <c r="E48" s="8">
        <v>1</v>
      </c>
      <c r="F48" s="8">
        <v>1</v>
      </c>
      <c r="G48" s="8">
        <v>1</v>
      </c>
      <c r="H48" s="9"/>
      <c r="I48" s="9"/>
      <c r="J48" s="9"/>
    </row>
    <row r="49" ht="20" customHeight="1" spans="1:10">
      <c r="A49" s="13"/>
      <c r="B49" s="8" t="s">
        <v>2519</v>
      </c>
      <c r="C49" s="8" t="s">
        <v>2474</v>
      </c>
      <c r="D49" s="8">
        <v>1</v>
      </c>
      <c r="E49" s="8">
        <v>1</v>
      </c>
      <c r="F49" s="8">
        <v>1</v>
      </c>
      <c r="G49" s="8">
        <v>1</v>
      </c>
      <c r="H49" s="9"/>
      <c r="I49" s="9"/>
      <c r="J49" s="9"/>
    </row>
    <row r="50" ht="20" customHeight="1" spans="1:10">
      <c r="A50" s="13"/>
      <c r="B50" s="8" t="s">
        <v>2520</v>
      </c>
      <c r="C50" s="8" t="s">
        <v>2474</v>
      </c>
      <c r="D50" s="8">
        <v>1</v>
      </c>
      <c r="E50" s="8">
        <v>1</v>
      </c>
      <c r="F50" s="8">
        <v>1</v>
      </c>
      <c r="G50" s="8">
        <v>1</v>
      </c>
      <c r="H50" s="9"/>
      <c r="I50" s="9"/>
      <c r="J50" s="9"/>
    </row>
    <row r="51" ht="20" customHeight="1" spans="1:10">
      <c r="A51" s="13"/>
      <c r="B51" s="8" t="s">
        <v>2521</v>
      </c>
      <c r="C51" s="8" t="s">
        <v>2474</v>
      </c>
      <c r="D51" s="8">
        <v>3</v>
      </c>
      <c r="E51" s="8">
        <v>3</v>
      </c>
      <c r="F51" s="8">
        <v>3</v>
      </c>
      <c r="G51" s="8">
        <v>3</v>
      </c>
      <c r="H51" s="9"/>
      <c r="I51" s="9"/>
      <c r="J51" s="9"/>
    </row>
    <row r="52" ht="20" customHeight="1" spans="1:10">
      <c r="A52" s="13"/>
      <c r="B52" s="8" t="s">
        <v>2522</v>
      </c>
      <c r="C52" s="8" t="s">
        <v>2474</v>
      </c>
      <c r="D52" s="8">
        <v>3</v>
      </c>
      <c r="E52" s="8">
        <v>3</v>
      </c>
      <c r="F52" s="8">
        <v>3</v>
      </c>
      <c r="G52" s="8">
        <v>3</v>
      </c>
      <c r="H52" s="9"/>
      <c r="I52" s="9"/>
      <c r="J52" s="9"/>
    </row>
    <row r="53" ht="20" customHeight="1" spans="1:10">
      <c r="A53" s="13"/>
      <c r="B53" s="8" t="s">
        <v>2523</v>
      </c>
      <c r="C53" s="8" t="s">
        <v>2474</v>
      </c>
      <c r="D53" s="8">
        <v>1</v>
      </c>
      <c r="E53" s="8">
        <v>1</v>
      </c>
      <c r="F53" s="8">
        <v>1</v>
      </c>
      <c r="G53" s="8">
        <v>1</v>
      </c>
      <c r="H53" s="9"/>
      <c r="I53" s="9"/>
      <c r="J53" s="9"/>
    </row>
    <row r="54" ht="20" customHeight="1" spans="1:10">
      <c r="A54" s="13"/>
      <c r="B54" s="8" t="s">
        <v>2524</v>
      </c>
      <c r="C54" s="8" t="s">
        <v>2474</v>
      </c>
      <c r="D54" s="8">
        <v>1</v>
      </c>
      <c r="E54" s="8">
        <v>1</v>
      </c>
      <c r="F54" s="8">
        <v>1</v>
      </c>
      <c r="G54" s="8">
        <v>1</v>
      </c>
      <c r="H54" s="9"/>
      <c r="I54" s="9"/>
      <c r="J54" s="9"/>
    </row>
    <row r="55" ht="20" customHeight="1" spans="1:10">
      <c r="A55" s="13"/>
      <c r="B55" s="8" t="s">
        <v>2525</v>
      </c>
      <c r="C55" s="8" t="s">
        <v>2474</v>
      </c>
      <c r="D55" s="8">
        <v>1</v>
      </c>
      <c r="E55" s="8">
        <v>1</v>
      </c>
      <c r="F55" s="8">
        <v>1</v>
      </c>
      <c r="G55" s="8">
        <v>1</v>
      </c>
      <c r="H55" s="9"/>
      <c r="I55" s="9"/>
      <c r="J55" s="9"/>
    </row>
    <row r="56" ht="20" customHeight="1" spans="1:10">
      <c r="A56" s="13"/>
      <c r="B56" s="8" t="s">
        <v>2526</v>
      </c>
      <c r="C56" s="8" t="s">
        <v>2474</v>
      </c>
      <c r="D56" s="8">
        <v>1</v>
      </c>
      <c r="E56" s="8">
        <v>1</v>
      </c>
      <c r="F56" s="8">
        <v>1</v>
      </c>
      <c r="G56" s="8">
        <v>1</v>
      </c>
      <c r="H56" s="9"/>
      <c r="I56" s="9"/>
      <c r="J56" s="9"/>
    </row>
    <row r="57" ht="20" customHeight="1" spans="1:10">
      <c r="A57" s="13"/>
      <c r="B57" s="8" t="s">
        <v>2527</v>
      </c>
      <c r="C57" s="8" t="s">
        <v>2474</v>
      </c>
      <c r="D57" s="8">
        <v>1</v>
      </c>
      <c r="E57" s="8">
        <v>1</v>
      </c>
      <c r="F57" s="8">
        <v>1</v>
      </c>
      <c r="G57" s="8">
        <v>1</v>
      </c>
      <c r="H57" s="9"/>
      <c r="I57" s="9"/>
      <c r="J57" s="9"/>
    </row>
    <row r="58" ht="20" customHeight="1" spans="1:10">
      <c r="A58" s="13"/>
      <c r="B58" s="8" t="s">
        <v>2528</v>
      </c>
      <c r="C58" s="8" t="s">
        <v>2474</v>
      </c>
      <c r="D58" s="8">
        <v>1</v>
      </c>
      <c r="E58" s="8">
        <v>1</v>
      </c>
      <c r="F58" s="8">
        <v>1</v>
      </c>
      <c r="G58" s="8">
        <v>1</v>
      </c>
      <c r="H58" s="9"/>
      <c r="I58" s="9"/>
      <c r="J58" s="9"/>
    </row>
    <row r="59" ht="20" customHeight="1" spans="1:10">
      <c r="A59" s="13"/>
      <c r="B59" s="8" t="s">
        <v>2529</v>
      </c>
      <c r="C59" s="8" t="s">
        <v>2474</v>
      </c>
      <c r="D59" s="8">
        <v>2</v>
      </c>
      <c r="E59" s="8">
        <v>2</v>
      </c>
      <c r="F59" s="8">
        <v>2</v>
      </c>
      <c r="G59" s="8">
        <v>2</v>
      </c>
      <c r="H59" s="9"/>
      <c r="I59" s="9"/>
      <c r="J59" s="9"/>
    </row>
    <row r="60" ht="20" customHeight="1" spans="1:10">
      <c r="A60" s="14" t="s">
        <v>2530</v>
      </c>
      <c r="B60" s="8" t="s">
        <v>2531</v>
      </c>
      <c r="C60" s="8" t="s">
        <v>2474</v>
      </c>
      <c r="D60" s="8">
        <v>16</v>
      </c>
      <c r="E60" s="8">
        <v>16</v>
      </c>
      <c r="F60" s="8">
        <v>16</v>
      </c>
      <c r="G60" s="8">
        <v>16</v>
      </c>
      <c r="H60" s="9"/>
      <c r="I60" s="9"/>
      <c r="J60" s="9"/>
    </row>
    <row r="61" ht="20" customHeight="1" spans="1:10">
      <c r="A61" s="14"/>
      <c r="B61" s="15" t="s">
        <v>2532</v>
      </c>
      <c r="C61" s="8" t="s">
        <v>2474</v>
      </c>
      <c r="D61" s="15">
        <v>4</v>
      </c>
      <c r="E61" s="15">
        <v>4</v>
      </c>
      <c r="F61" s="15">
        <v>4</v>
      </c>
      <c r="G61" s="15">
        <v>4</v>
      </c>
      <c r="H61" s="9"/>
      <c r="I61" s="9"/>
      <c r="J61" s="9"/>
    </row>
    <row r="62" ht="20" customHeight="1" spans="1:10">
      <c r="A62" s="14"/>
      <c r="B62" s="8" t="s">
        <v>2533</v>
      </c>
      <c r="C62" s="8" t="s">
        <v>2474</v>
      </c>
      <c r="D62" s="8">
        <v>20</v>
      </c>
      <c r="E62" s="8">
        <v>20</v>
      </c>
      <c r="F62" s="8">
        <v>20</v>
      </c>
      <c r="G62" s="8">
        <v>20</v>
      </c>
      <c r="H62" s="9"/>
      <c r="I62" s="9"/>
      <c r="J62" s="9"/>
    </row>
    <row r="63" ht="20" customHeight="1" spans="1:10">
      <c r="A63" s="14"/>
      <c r="B63" s="8" t="s">
        <v>2534</v>
      </c>
      <c r="C63" s="8" t="s">
        <v>2474</v>
      </c>
      <c r="D63" s="8">
        <v>40</v>
      </c>
      <c r="E63" s="8">
        <v>40</v>
      </c>
      <c r="F63" s="8">
        <v>40</v>
      </c>
      <c r="G63" s="8">
        <v>40</v>
      </c>
      <c r="H63" s="9"/>
      <c r="I63" s="9"/>
      <c r="J63" s="9"/>
    </row>
    <row r="64" ht="20" customHeight="1" spans="1:10">
      <c r="A64" s="14"/>
      <c r="B64" s="8" t="s">
        <v>2535</v>
      </c>
      <c r="C64" s="8" t="s">
        <v>2474</v>
      </c>
      <c r="D64" s="8">
        <v>36</v>
      </c>
      <c r="E64" s="8">
        <v>36</v>
      </c>
      <c r="F64" s="8">
        <v>36</v>
      </c>
      <c r="G64" s="8">
        <v>36</v>
      </c>
      <c r="H64" s="9"/>
      <c r="I64" s="9"/>
      <c r="J64" s="9"/>
    </row>
    <row r="65" ht="20" customHeight="1" spans="1:10">
      <c r="A65" s="14"/>
      <c r="B65" s="8" t="s">
        <v>2536</v>
      </c>
      <c r="C65" s="8" t="s">
        <v>2474</v>
      </c>
      <c r="D65" s="8">
        <v>32</v>
      </c>
      <c r="E65" s="8">
        <v>32</v>
      </c>
      <c r="F65" s="8">
        <v>32</v>
      </c>
      <c r="G65" s="8">
        <v>32</v>
      </c>
      <c r="H65" s="9"/>
      <c r="I65" s="9"/>
      <c r="J65" s="9"/>
    </row>
    <row r="66" ht="20" customHeight="1" spans="1:10">
      <c r="A66" s="14"/>
      <c r="B66" s="8" t="s">
        <v>2537</v>
      </c>
      <c r="C66" s="8" t="s">
        <v>2474</v>
      </c>
      <c r="D66" s="8">
        <v>12</v>
      </c>
      <c r="E66" s="8">
        <v>12</v>
      </c>
      <c r="F66" s="8">
        <v>12</v>
      </c>
      <c r="G66" s="8">
        <v>12</v>
      </c>
      <c r="H66" s="9"/>
      <c r="I66" s="9"/>
      <c r="J66" s="9"/>
    </row>
    <row r="67" ht="20" customHeight="1" spans="1:10">
      <c r="A67" s="14"/>
      <c r="B67" s="8" t="s">
        <v>2531</v>
      </c>
      <c r="C67" s="8" t="s">
        <v>2474</v>
      </c>
      <c r="D67" s="8">
        <v>8</v>
      </c>
      <c r="E67" s="8">
        <v>8</v>
      </c>
      <c r="F67" s="8">
        <v>9</v>
      </c>
      <c r="G67" s="8">
        <v>9</v>
      </c>
      <c r="H67" s="9"/>
      <c r="I67" s="9"/>
      <c r="J67" s="9"/>
    </row>
    <row r="68" ht="20" customHeight="1" spans="1:10">
      <c r="A68" s="14"/>
      <c r="B68" s="8" t="s">
        <v>2538</v>
      </c>
      <c r="C68" s="8" t="s">
        <v>2474</v>
      </c>
      <c r="D68" s="8">
        <v>6</v>
      </c>
      <c r="E68" s="8">
        <v>6</v>
      </c>
      <c r="F68" s="8">
        <v>6</v>
      </c>
      <c r="G68" s="8">
        <v>6</v>
      </c>
      <c r="H68" s="9"/>
      <c r="I68" s="9"/>
      <c r="J68" s="9"/>
    </row>
    <row r="69" ht="20" customHeight="1" spans="1:10">
      <c r="A69" s="14"/>
      <c r="B69" s="8" t="s">
        <v>2539</v>
      </c>
      <c r="C69" s="8" t="s">
        <v>2474</v>
      </c>
      <c r="D69" s="8">
        <v>5</v>
      </c>
      <c r="E69" s="8">
        <v>5</v>
      </c>
      <c r="F69" s="8">
        <v>4</v>
      </c>
      <c r="G69" s="8">
        <v>5</v>
      </c>
      <c r="H69" s="9"/>
      <c r="I69" s="9"/>
      <c r="J69" s="9"/>
    </row>
    <row r="70" ht="20" customHeight="1" spans="1:10">
      <c r="A70" s="14"/>
      <c r="B70" s="8" t="s">
        <v>2534</v>
      </c>
      <c r="C70" s="8" t="s">
        <v>2474</v>
      </c>
      <c r="D70" s="8">
        <v>5</v>
      </c>
      <c r="E70" s="8">
        <v>5</v>
      </c>
      <c r="F70" s="8">
        <v>4</v>
      </c>
      <c r="G70" s="8">
        <v>5</v>
      </c>
      <c r="H70" s="9"/>
      <c r="I70" s="9"/>
      <c r="J70" s="9"/>
    </row>
    <row r="71" ht="20" customHeight="1" spans="1:10">
      <c r="A71" s="14"/>
      <c r="B71" s="11" t="s">
        <v>2540</v>
      </c>
      <c r="C71" s="8" t="s">
        <v>2474</v>
      </c>
      <c r="D71" s="8">
        <v>3</v>
      </c>
      <c r="E71" s="8">
        <v>3</v>
      </c>
      <c r="F71" s="8">
        <v>2</v>
      </c>
      <c r="G71" s="8">
        <v>5</v>
      </c>
      <c r="H71" s="9"/>
      <c r="I71" s="9"/>
      <c r="J71" s="9"/>
    </row>
    <row r="72" ht="20" customHeight="1" spans="1:10">
      <c r="A72" s="14"/>
      <c r="B72" s="8" t="s">
        <v>2535</v>
      </c>
      <c r="C72" s="8" t="s">
        <v>2474</v>
      </c>
      <c r="D72" s="8">
        <v>4</v>
      </c>
      <c r="E72" s="8">
        <v>4</v>
      </c>
      <c r="F72" s="8">
        <v>4</v>
      </c>
      <c r="G72" s="8">
        <v>3</v>
      </c>
      <c r="H72" s="9"/>
      <c r="I72" s="9"/>
      <c r="J72" s="9"/>
    </row>
    <row r="73" ht="20" customHeight="1" spans="1:10">
      <c r="A73" s="14"/>
      <c r="B73" s="8" t="s">
        <v>2541</v>
      </c>
      <c r="C73" s="8" t="s">
        <v>2474</v>
      </c>
      <c r="D73" s="8">
        <v>6</v>
      </c>
      <c r="E73" s="8">
        <v>6</v>
      </c>
      <c r="F73" s="8">
        <v>9</v>
      </c>
      <c r="G73" s="8">
        <v>8</v>
      </c>
      <c r="H73" s="9"/>
      <c r="I73" s="9"/>
      <c r="J73" s="9"/>
    </row>
    <row r="74" ht="20" customHeight="1" spans="1:10">
      <c r="A74" s="14"/>
      <c r="B74" s="8" t="s">
        <v>2536</v>
      </c>
      <c r="C74" s="8" t="s">
        <v>2474</v>
      </c>
      <c r="D74" s="8">
        <v>3</v>
      </c>
      <c r="E74" s="8">
        <v>3</v>
      </c>
      <c r="F74" s="8">
        <v>5</v>
      </c>
      <c r="G74" s="8">
        <v>5</v>
      </c>
      <c r="H74" s="9"/>
      <c r="I74" s="9"/>
      <c r="J74" s="9"/>
    </row>
    <row r="75" ht="20" customHeight="1" spans="1:10">
      <c r="A75" s="14"/>
      <c r="B75" s="8" t="s">
        <v>2542</v>
      </c>
      <c r="C75" s="8" t="s">
        <v>2474</v>
      </c>
      <c r="D75" s="8">
        <v>1</v>
      </c>
      <c r="E75" s="8">
        <v>1</v>
      </c>
      <c r="F75" s="8">
        <v>6</v>
      </c>
      <c r="G75" s="8">
        <v>6</v>
      </c>
      <c r="H75" s="9"/>
      <c r="I75" s="9"/>
      <c r="J75" s="9"/>
    </row>
    <row r="76" ht="20" customHeight="1" spans="1:10">
      <c r="A76" s="14"/>
      <c r="B76" s="8" t="s">
        <v>2537</v>
      </c>
      <c r="C76" s="8" t="s">
        <v>2474</v>
      </c>
      <c r="D76" s="8">
        <v>4</v>
      </c>
      <c r="E76" s="8">
        <v>4</v>
      </c>
      <c r="F76" s="8">
        <v>7</v>
      </c>
      <c r="G76" s="8">
        <v>7</v>
      </c>
      <c r="H76" s="9"/>
      <c r="I76" s="9"/>
      <c r="J76" s="9"/>
    </row>
    <row r="77" ht="20" customHeight="1" spans="1:10">
      <c r="A77" s="14"/>
      <c r="B77" s="8" t="s">
        <v>2543</v>
      </c>
      <c r="C77" s="8" t="s">
        <v>2474</v>
      </c>
      <c r="D77" s="8">
        <v>1</v>
      </c>
      <c r="E77" s="8">
        <v>1</v>
      </c>
      <c r="F77" s="8">
        <v>2</v>
      </c>
      <c r="G77" s="8">
        <v>3</v>
      </c>
      <c r="H77" s="9"/>
      <c r="I77" s="9"/>
      <c r="J77" s="9"/>
    </row>
    <row r="78" ht="20" customHeight="1" spans="1:10">
      <c r="A78" s="14"/>
      <c r="B78" s="8" t="s">
        <v>2544</v>
      </c>
      <c r="C78" s="8" t="s">
        <v>2474</v>
      </c>
      <c r="D78" s="8">
        <v>2</v>
      </c>
      <c r="E78" s="8">
        <v>2</v>
      </c>
      <c r="F78" s="8">
        <v>2</v>
      </c>
      <c r="G78" s="8">
        <v>2</v>
      </c>
      <c r="H78" s="9"/>
      <c r="I78" s="9"/>
      <c r="J78" s="9"/>
    </row>
    <row r="79" ht="20" customHeight="1" spans="1:10">
      <c r="A79" s="14"/>
      <c r="B79" s="8" t="s">
        <v>2545</v>
      </c>
      <c r="C79" s="8" t="s">
        <v>2474</v>
      </c>
      <c r="D79" s="8">
        <v>2</v>
      </c>
      <c r="E79" s="8">
        <v>2</v>
      </c>
      <c r="F79" s="8">
        <v>1</v>
      </c>
      <c r="G79" s="8">
        <v>1</v>
      </c>
      <c r="H79" s="9"/>
      <c r="I79" s="9"/>
      <c r="J79" s="9"/>
    </row>
    <row r="80" ht="20" customHeight="1" spans="1:10">
      <c r="A80" s="14"/>
      <c r="B80" s="8" t="s">
        <v>2546</v>
      </c>
      <c r="C80" s="8" t="s">
        <v>2474</v>
      </c>
      <c r="D80" s="8">
        <v>0</v>
      </c>
      <c r="E80" s="8">
        <v>0</v>
      </c>
      <c r="F80" s="8">
        <v>0</v>
      </c>
      <c r="G80" s="8">
        <v>0</v>
      </c>
      <c r="H80" s="9"/>
      <c r="I80" s="9"/>
      <c r="J80" s="9"/>
    </row>
    <row r="81" ht="20" customHeight="1" spans="1:10">
      <c r="A81" s="14"/>
      <c r="B81" s="8" t="s">
        <v>2547</v>
      </c>
      <c r="C81" s="8" t="s">
        <v>2474</v>
      </c>
      <c r="D81" s="8">
        <v>0</v>
      </c>
      <c r="E81" s="8">
        <v>0</v>
      </c>
      <c r="F81" s="8">
        <v>0</v>
      </c>
      <c r="G81" s="8">
        <v>0</v>
      </c>
      <c r="H81" s="9"/>
      <c r="I81" s="9"/>
      <c r="J81" s="9"/>
    </row>
    <row r="82" ht="20" customHeight="1" spans="1:10">
      <c r="A82" s="14"/>
      <c r="B82" s="8" t="s">
        <v>2548</v>
      </c>
      <c r="C82" s="8" t="s">
        <v>2474</v>
      </c>
      <c r="D82" s="8">
        <v>0</v>
      </c>
      <c r="E82" s="8">
        <v>0</v>
      </c>
      <c r="F82" s="8">
        <v>0</v>
      </c>
      <c r="G82" s="8">
        <v>0</v>
      </c>
      <c r="H82" s="9"/>
      <c r="I82" s="9"/>
      <c r="J82" s="9"/>
    </row>
    <row r="83" ht="20" customHeight="1" spans="1:10">
      <c r="A83" s="16" t="s">
        <v>2549</v>
      </c>
      <c r="B83" s="8" t="s">
        <v>2550</v>
      </c>
      <c r="C83" s="8" t="s">
        <v>2474</v>
      </c>
      <c r="D83" s="8">
        <v>1</v>
      </c>
      <c r="E83" s="8">
        <v>1</v>
      </c>
      <c r="F83" s="8">
        <v>1</v>
      </c>
      <c r="G83" s="8">
        <v>1</v>
      </c>
      <c r="H83" s="9"/>
      <c r="I83" s="9"/>
      <c r="J83" s="9"/>
    </row>
    <row r="84" ht="20" customHeight="1" spans="1:10">
      <c r="A84" s="17" t="s">
        <v>2551</v>
      </c>
      <c r="B84" s="8" t="s">
        <v>2552</v>
      </c>
      <c r="C84" s="8" t="s">
        <v>2474</v>
      </c>
      <c r="D84" s="8">
        <v>1</v>
      </c>
      <c r="E84" s="8">
        <v>1</v>
      </c>
      <c r="F84" s="8">
        <v>1</v>
      </c>
      <c r="G84" s="8">
        <v>1</v>
      </c>
      <c r="H84" s="9"/>
      <c r="I84" s="9"/>
      <c r="J84" s="9"/>
    </row>
    <row r="85" ht="20" customHeight="1" spans="1:10">
      <c r="A85" s="8"/>
      <c r="B85" s="8" t="s">
        <v>2553</v>
      </c>
      <c r="C85" s="8" t="s">
        <v>2474</v>
      </c>
      <c r="D85" s="8">
        <v>1</v>
      </c>
      <c r="E85" s="8">
        <v>1</v>
      </c>
      <c r="F85" s="8">
        <v>1</v>
      </c>
      <c r="G85" s="8">
        <v>1</v>
      </c>
      <c r="H85" s="9"/>
      <c r="I85" s="9"/>
      <c r="J85" s="9"/>
    </row>
    <row r="86" ht="20" customHeight="1" spans="1:10">
      <c r="A86" s="8"/>
      <c r="B86" s="18" t="s">
        <v>2554</v>
      </c>
      <c r="C86" s="8" t="s">
        <v>2474</v>
      </c>
      <c r="D86" s="8">
        <v>2</v>
      </c>
      <c r="E86" s="8">
        <v>2</v>
      </c>
      <c r="F86" s="8">
        <v>2</v>
      </c>
      <c r="G86" s="8">
        <v>2</v>
      </c>
      <c r="H86" s="9"/>
      <c r="I86" s="9"/>
      <c r="J86" s="9"/>
    </row>
    <row r="87" ht="20" customHeight="1" spans="1:10">
      <c r="A87" s="8"/>
      <c r="B87" s="19" t="s">
        <v>2555</v>
      </c>
      <c r="C87" s="8" t="s">
        <v>2474</v>
      </c>
      <c r="D87" s="8">
        <v>1</v>
      </c>
      <c r="E87" s="8">
        <v>1</v>
      </c>
      <c r="F87" s="8">
        <v>1</v>
      </c>
      <c r="G87" s="8">
        <v>1</v>
      </c>
      <c r="H87" s="9"/>
      <c r="I87" s="9"/>
      <c r="J87" s="9"/>
    </row>
    <row r="88" ht="20" customHeight="1" spans="1:10">
      <c r="A88" s="8"/>
      <c r="B88" s="19" t="s">
        <v>2556</v>
      </c>
      <c r="C88" s="8" t="s">
        <v>2474</v>
      </c>
      <c r="D88" s="8">
        <v>1</v>
      </c>
      <c r="E88" s="8">
        <v>1</v>
      </c>
      <c r="F88" s="8">
        <v>1</v>
      </c>
      <c r="G88" s="8">
        <v>1</v>
      </c>
      <c r="H88" s="9"/>
      <c r="I88" s="9"/>
      <c r="J88" s="9"/>
    </row>
    <row r="89" ht="20" customHeight="1"/>
    <row r="90" ht="20" customHeight="1"/>
    <row r="91" ht="20" customHeight="1"/>
    <row r="92" ht="20" customHeight="1"/>
    <row r="93" ht="20" customHeight="1"/>
    <row r="94" ht="20" customHeight="1"/>
  </sheetData>
  <mergeCells count="10">
    <mergeCell ref="A1:J1"/>
    <mergeCell ref="A2:A3"/>
    <mergeCell ref="A4:A21"/>
    <mergeCell ref="A22:A59"/>
    <mergeCell ref="A60:A66"/>
    <mergeCell ref="A67:A82"/>
    <mergeCell ref="A84:A88"/>
    <mergeCell ref="B2:B3"/>
    <mergeCell ref="C2:C3"/>
    <mergeCell ref="D2:D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财务报表填写要求</vt:lpstr>
      <vt:lpstr>收入汇总表</vt:lpstr>
      <vt:lpstr>收入流水表</vt:lpstr>
      <vt:lpstr>游泳装备销售明细表</vt:lpstr>
      <vt:lpstr>水吧销售明细表</vt:lpstr>
      <vt:lpstr>发票信息登记表</vt:lpstr>
      <vt:lpstr>礼品赠送明细表</vt:lpstr>
      <vt:lpstr>固定资产盘点表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ones2three</cp:lastModifiedBy>
  <dcterms:created xsi:type="dcterms:W3CDTF">2023-06-15T14:26:00Z</dcterms:created>
  <dcterms:modified xsi:type="dcterms:W3CDTF">2026-07-13T22:18:16Z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4AD9D83BE5E32EB5A8F3546A8C3424F1_43</vt:lpwstr>
  </property>
  <property fmtid="{D5CDD505-2E9C-101B-9397-08002B2CF9AE}" pid="3" name="KSOProductBuildVer">
    <vt:lpwstr>2052-12.1.26016.26016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